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GIMI" sheetId="1" state="visible" r:id="rId3"/>
    <sheet name="Parametri" sheetId="2" state="visible" r:id="rId4"/>
    <sheet name="Fornitori" sheetId="3" state="visible" r:id="rId5"/>
    <sheet name="Classi" sheetId="4" state="visible" r:id="rId6"/>
    <sheet name="Spessori" sheetId="5" state="visible" r:id="rId7"/>
    <sheet name="Materiali" sheetId="6" state="visible" r:id="rId8"/>
    <sheet name="Risorse" sheetId="7" state="visible" r:id="rId9"/>
    <sheet name="Lavorazioni" sheetId="8" state="visible" r:id="rId10"/>
    <sheet name="Modelli" sheetId="9" state="visible" r:id="rId11"/>
    <sheet name="Modelli_Lavorazioni" sheetId="10" state="visible" r:id="rId12"/>
    <sheet name="Accessori" sheetId="11" state="visible" r:id="rId13"/>
    <sheet name="Aliquote_IVA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<sst xmlns="http://schemas.openxmlformats.org/spreadsheetml/2006/main" count="734" uniqueCount="352">
  <si>
    <t xml:space="preserve">LISTINO DI ESEMPIO – Preventivatore LCM Marchioni (prototipo)</t>
  </si>
  <si>
    <t xml:space="preserve">Tutti i valori sono INDICATIVI e servono solo a far funzionare la demo: vanno sostituiti con i dati reali di LCM.</t>
  </si>
  <si>
    <t xml:space="preserve">Come si legge</t>
  </si>
  <si>
    <t xml:space="preserve">• Testo BLU = dato da inserire/modificare.   • Testo NERO su fondo grigio = formula, non toccare.</t>
  </si>
  <si>
    <t xml:space="preserve">• La riga 1 di ogni foglio contiene i nomi colonna letti dal preventivatore: non rinominarli.</t>
  </si>
  <si>
    <t xml:space="preserve">• Le percentuali sono scritte come frazioni (0,20 = 20%).</t>
  </si>
  <si>
    <t xml:space="preserve">Fogli</t>
  </si>
  <si>
    <t xml:space="preserve">Parametri – spese generali, ricarichi per tipo cliente, IVA, costo operatore.</t>
  </si>
  <si>
    <t xml:space="preserve">Fornitori – anagrafica fornitori materiale.</t>
  </si>
  <si>
    <t xml:space="preserve">Materiali – una riga per materiale + spessore: €/m², formato lastra, sfrido %, classe.</t>
  </si>
  <si>
    <t xml:space="preserve">Classi – coefficiente di difficoltà per classe di materiale (marmo = 1,00 riferimento).</t>
  </si>
  <si>
    <t xml:space="preserve">Spessori – coefficiente per spessore (2 cm = 1,00 riferimento).</t>
  </si>
  <si>
    <t xml:space="preserve">Risorse – macchine e postazioni: il costo orario si calcola da ammortamento, energia, utensili, manutenzione, operatore.</t>
  </si>
  <si>
    <t xml:space="preserve">Lavorazioni – UM, risorsa, velocità di riferimento (marmo 2 cm), attrezzaggio, categoria.</t>
  </si>
  <si>
    <t xml:space="preserve">Modelli – i tipi di pezzo (scala, top cucina, ...) con le misure da chiedere.</t>
  </si>
  <si>
    <t xml:space="preserve">Modelli_Lavorazioni – il 'ciclo' di default di ogni modello: lavorazione + base di quantità + coefficiente.</t>
  </si>
  <si>
    <t xml:space="preserve">Accessori – imballo, rilievo, posa. Visibile_cliente = NO: costo interno ripartito sui prodotti; SI: riga in offerta. Il trasporto si inserisce a mano nel preventivo.</t>
  </si>
  <si>
    <t xml:space="preserve">Formula di costo di una lavorazione</t>
  </si>
  <si>
    <t xml:space="preserve">Tempo (min) = Quantità ÷ Velocità × Coeff. classe × Coeff. spessore + Attrezzaggio</t>
  </si>
  <si>
    <t xml:space="preserve">Costo = Tempo (min) × Costo orario risorsa ÷ 60</t>
  </si>
  <si>
    <t xml:space="preserve">Basi di quantità usabili in Modelli_Lavorazioni</t>
  </si>
  <si>
    <t xml:space="preserve">AREA = L×P×N (m²) · AREA_H = L×H×N (m², alzate/alzatina/frontale) · ML_FRONTE = L×N · ML_LATI = 2×P×N</t>
  </si>
  <si>
    <t xml:space="preserve">ML_PERIM = 2×(L+P)×N · ML_ALZ = L×N (solo se H&gt;0) · ML_PERIM_H = 2×(L+H)×N (solo se H&gt;0)</t>
  </si>
  <si>
    <t xml:space="preserve">N_PZ = numero pezzi (N, raddoppia se H&gt;0) · N = numero inserito · MANUALE = il coefficiente è la quantità di default</t>
  </si>
  <si>
    <t xml:space="preserve">Chiave</t>
  </si>
  <si>
    <t xml:space="preserve">Valore</t>
  </si>
  <si>
    <t xml:space="preserve">Descrizione</t>
  </si>
  <si>
    <t xml:space="preserve">Spese_generali</t>
  </si>
  <si>
    <t xml:space="preserve">Spese generali d'impresa sul costo diretto (ufficio, affitto, assicurazioni...)</t>
  </si>
  <si>
    <t xml:space="preserve">Ricarico_Privato</t>
  </si>
  <si>
    <t xml:space="preserve">Ricarico sul costo pieno – cliente privato</t>
  </si>
  <si>
    <t xml:space="preserve">Ricarico_Professionista</t>
  </si>
  <si>
    <t xml:space="preserve">Ricarico sul costo pieno – posatori, imprese, architetti</t>
  </si>
  <si>
    <t xml:space="preserve">Ricarico_Estero</t>
  </si>
  <si>
    <t xml:space="preserve">Ricarico sul costo pieno – clienti esteri</t>
  </si>
  <si>
    <t xml:space="preserve">IVA</t>
  </si>
  <si>
    <t xml:space="preserve">Aliquota IVA di riserva (se manca il foglio Aliquote_IVA)</t>
  </si>
  <si>
    <t xml:space="preserve">IVA_Privato</t>
  </si>
  <si>
    <t xml:space="preserve">IVA22</t>
  </si>
  <si>
    <t xml:space="preserve">Regime IVA proposto per cliente Privato (codice del foglio Aliquote_IVA)</t>
  </si>
  <si>
    <t xml:space="preserve">IVA_Professionista</t>
  </si>
  <si>
    <t xml:space="preserve">Regime IVA proposto per Professionista / P.IVA</t>
  </si>
  <si>
    <t xml:space="preserve">IVA_Estero</t>
  </si>
  <si>
    <t xml:space="preserve">ESENTE_EXP</t>
  </si>
  <si>
    <t xml:space="preserve">Regime IVA proposto per cliente Estero</t>
  </si>
  <si>
    <t xml:space="preserve">Costo_operatore_h</t>
  </si>
  <si>
    <t xml:space="preserve">Costo aziendale orario di un operatore (€/h)</t>
  </si>
  <si>
    <t xml:space="preserve">Arrotondamento</t>
  </si>
  <si>
    <t xml:space="preserve">Arrotonda il prezzo finale al multiplo di (€). 0 = nessun arrotondamento</t>
  </si>
  <si>
    <t xml:space="preserve">Validita_giorni</t>
  </si>
  <si>
    <t xml:space="preserve">Validità dell'offerta (giorni)</t>
  </si>
  <si>
    <t xml:space="preserve">Ragione_sociale</t>
  </si>
  <si>
    <t xml:space="preserve">L.C.M. Marchioni Srl</t>
  </si>
  <si>
    <t xml:space="preserve">Intestazione offerta</t>
  </si>
  <si>
    <t xml:space="preserve">Testo_trasporto_cliente</t>
  </si>
  <si>
    <t xml:space="preserve">Trasporto a carico del cliente</t>
  </si>
  <si>
    <t xml:space="preserve">Dicitura in offerta quando il trasporto non è incluso</t>
  </si>
  <si>
    <t xml:space="preserve">Note_offerta</t>
  </si>
  <si>
    <t xml:space="preserve">Misure da confermare con rilievo. Venature e tonalità dei materiali naturali possono variare rispetto ai campioni.</t>
  </si>
  <si>
    <t xml:space="preserve">Note standard in fondo all'offerta</t>
  </si>
  <si>
    <t xml:space="preserve">Codice</t>
  </si>
  <si>
    <t xml:space="preserve">Nome</t>
  </si>
  <si>
    <t xml:space="preserve">Sede</t>
  </si>
  <si>
    <t xml:space="preserve">Note</t>
  </si>
  <si>
    <t xml:space="preserve">F01</t>
  </si>
  <si>
    <t xml:space="preserve">Fornitore Marmi Apuani (esempio)</t>
  </si>
  <si>
    <t xml:space="preserve">Carrara (MS)</t>
  </si>
  <si>
    <t xml:space="preserve">Listino 2026 – Excel</t>
  </si>
  <si>
    <t xml:space="preserve">F02</t>
  </si>
  <si>
    <t xml:space="preserve">Fornitore Graniti Import (esempio)</t>
  </si>
  <si>
    <t xml:space="preserve">Verona (VR)</t>
  </si>
  <si>
    <t xml:space="preserve">Listino 2026 – PDF</t>
  </si>
  <si>
    <t xml:space="preserve">F03</t>
  </si>
  <si>
    <t xml:space="preserve">Fornitore Sinterizzati (esempio)</t>
  </si>
  <si>
    <t xml:space="preserve">Sassuolo (MO)</t>
  </si>
  <si>
    <t xml:space="preserve">F04</t>
  </si>
  <si>
    <t xml:space="preserve">Fornitore Quarzi &amp; Agglomerati (esempio)</t>
  </si>
  <si>
    <t xml:space="preserve">Vicenza (VI)</t>
  </si>
  <si>
    <t xml:space="preserve">Classe</t>
  </si>
  <si>
    <t xml:space="preserve">Coeff_lavorazione</t>
  </si>
  <si>
    <t xml:space="preserve">MARMO</t>
  </si>
  <si>
    <t xml:space="preserve">Marmo / calcare</t>
  </si>
  <si>
    <t xml:space="preserve">Riferimento</t>
  </si>
  <si>
    <t xml:space="preserve">GRANITO</t>
  </si>
  <si>
    <t xml:space="preserve">Granito</t>
  </si>
  <si>
    <t xml:space="preserve">Più duro: taglio e lucidatura più lenti, più usura utensili</t>
  </si>
  <si>
    <t xml:space="preserve">QUARZITE</t>
  </si>
  <si>
    <t xml:space="preserve">Quarzite</t>
  </si>
  <si>
    <t xml:space="preserve">Molto dura</t>
  </si>
  <si>
    <t xml:space="preserve">AGGLOMERATO</t>
  </si>
  <si>
    <t xml:space="preserve">Quarzo agglomerato</t>
  </si>
  <si>
    <t xml:space="preserve">SINTERIZZATO</t>
  </si>
  <si>
    <t xml:space="preserve">Sinterizzato / gres grande lastra (Laminam, Kerlite...)</t>
  </si>
  <si>
    <t xml:space="preserve">Fragile: velocità ridotte, più scarti</t>
  </si>
  <si>
    <t xml:space="preserve">CERAMICA</t>
  </si>
  <si>
    <t xml:space="preserve">Gres porcellanato spessorato</t>
  </si>
  <si>
    <t xml:space="preserve">Spessore_cm</t>
  </si>
  <si>
    <t xml:space="preserve">Coeff_spessore</t>
  </si>
  <si>
    <t xml:space="preserve">Materiale</t>
  </si>
  <si>
    <t xml:space="preserve">Fornitore</t>
  </si>
  <si>
    <t xml:space="preserve">Prezzo_m2</t>
  </si>
  <si>
    <t xml:space="preserve">Lastra_L_cm</t>
  </si>
  <si>
    <t xml:space="preserve">Lastra_H_cm</t>
  </si>
  <si>
    <t xml:space="preserve">Sfrido</t>
  </si>
  <si>
    <t xml:space="preserve">Finitura_std</t>
  </si>
  <si>
    <t xml:space="preserve">Lastra_m2</t>
  </si>
  <si>
    <t xml:space="preserve">Prezzo_lastra</t>
  </si>
  <si>
    <t xml:space="preserve">CARR-2</t>
  </si>
  <si>
    <t xml:space="preserve">Bianco Carrara C</t>
  </si>
  <si>
    <t xml:space="preserve">Lucido</t>
  </si>
  <si>
    <t xml:space="preserve">CARR-3</t>
  </si>
  <si>
    <t xml:space="preserve">BOTT-2</t>
  </si>
  <si>
    <t xml:space="preserve">Botticino Classico</t>
  </si>
  <si>
    <t xml:space="preserve">BOTT-3</t>
  </si>
  <si>
    <t xml:space="preserve">MARQ-2</t>
  </si>
  <si>
    <t xml:space="preserve">Nero Marquinia</t>
  </si>
  <si>
    <t xml:space="preserve">NASS-2</t>
  </si>
  <si>
    <t xml:space="preserve">Nero Assoluto</t>
  </si>
  <si>
    <t xml:space="preserve">NASS-3</t>
  </si>
  <si>
    <t xml:space="preserve">BSAR-2</t>
  </si>
  <si>
    <t xml:space="preserve">Bianco Sardo</t>
  </si>
  <si>
    <t xml:space="preserve">BSAR-3</t>
  </si>
  <si>
    <t xml:space="preserve">RBET-3</t>
  </si>
  <si>
    <t xml:space="preserve">Rosa Beta</t>
  </si>
  <si>
    <t xml:space="preserve">TAJM-2</t>
  </si>
  <si>
    <t xml:space="preserve">Quarzite Taj Mahal</t>
  </si>
  <si>
    <t xml:space="preserve">QBIA-2</t>
  </si>
  <si>
    <t xml:space="preserve">Quarzo Bianco Assoluto</t>
  </si>
  <si>
    <t xml:space="preserve">QBIA-3</t>
  </si>
  <si>
    <t xml:space="preserve">LAMC-12</t>
  </si>
  <si>
    <t xml:space="preserve">Laminam Calacatta</t>
  </si>
  <si>
    <t xml:space="preserve">KERL-06</t>
  </si>
  <si>
    <t xml:space="preserve">Kerlite Cemento</t>
  </si>
  <si>
    <t xml:space="preserve">Naturale</t>
  </si>
  <si>
    <t xml:space="preserve">GRES-2</t>
  </si>
  <si>
    <t xml:space="preserve">Gres porcellanato pietra grigia</t>
  </si>
  <si>
    <t xml:space="preserve">Strutturato</t>
  </si>
  <si>
    <t xml:space="preserve">Risorsa</t>
  </si>
  <si>
    <t xml:space="preserve">Valore_acquisto</t>
  </si>
  <si>
    <t xml:space="preserve">Anni_ammortamento</t>
  </si>
  <si>
    <t xml:space="preserve">Ore_annue</t>
  </si>
  <si>
    <t xml:space="preserve">Potenza_kW</t>
  </si>
  <si>
    <t xml:space="preserve">Costo_kWh</t>
  </si>
  <si>
    <t xml:space="preserve">Utensili_h</t>
  </si>
  <si>
    <t xml:space="preserve">Manutenzione_anno</t>
  </si>
  <si>
    <t xml:space="preserve">N_operatori</t>
  </si>
  <si>
    <t xml:space="preserve">Ammortamento_h</t>
  </si>
  <si>
    <t xml:space="preserve">Energia_h</t>
  </si>
  <si>
    <t xml:space="preserve">Manutenzione_h</t>
  </si>
  <si>
    <t xml:space="preserve">Costo_macchina_h</t>
  </si>
  <si>
    <t xml:space="preserve">Costo_orario</t>
  </si>
  <si>
    <t xml:space="preserve">FRESA</t>
  </si>
  <si>
    <t xml:space="preserve">Fresa a ponte (taglio)</t>
  </si>
  <si>
    <t xml:space="preserve">CNC</t>
  </si>
  <si>
    <t xml:space="preserve">Centro di lavoro CNC 5 assi</t>
  </si>
  <si>
    <t xml:space="preserve">WJ</t>
  </si>
  <si>
    <t xml:space="preserve">Waterjet</t>
  </si>
  <si>
    <t xml:space="preserve">COSTE</t>
  </si>
  <si>
    <t xml:space="preserve">Lucidacoste automatica</t>
  </si>
  <si>
    <t xml:space="preserve">LUCID</t>
  </si>
  <si>
    <t xml:space="preserve">Levigatrice / lucidatrice superfici</t>
  </si>
  <si>
    <t xml:space="preserve">BANCO</t>
  </si>
  <si>
    <t xml:space="preserve">Banco manuale (utensili elettrici)</t>
  </si>
  <si>
    <t xml:space="preserve">IMBALLO</t>
  </si>
  <si>
    <t xml:space="preserve">Postazione imballo</t>
  </si>
  <si>
    <t xml:space="preserve">Lavorazione</t>
  </si>
  <si>
    <t xml:space="preserve">Categoria</t>
  </si>
  <si>
    <t xml:space="preserve">UM</t>
  </si>
  <si>
    <t xml:space="preserve">Velocita_UM_min</t>
  </si>
  <si>
    <t xml:space="preserve">Setup_min</t>
  </si>
  <si>
    <t xml:space="preserve">Applica_coeff_classe</t>
  </si>
  <si>
    <t xml:space="preserve">Applica_coeff_spessore</t>
  </si>
  <si>
    <t xml:space="preserve">Tempo_min_per_UM</t>
  </si>
  <si>
    <t xml:space="preserve">TAGLIO</t>
  </si>
  <si>
    <t xml:space="preserve">Taglio a misura</t>
  </si>
  <si>
    <t xml:space="preserve">ml</t>
  </si>
  <si>
    <t xml:space="preserve">SI</t>
  </si>
  <si>
    <t xml:space="preserve">Rif. 2 ml/min su marmo 2 cm</t>
  </si>
  <si>
    <t xml:space="preserve">TAGLIO45</t>
  </si>
  <si>
    <t xml:space="preserve">Taglio a 45° (giunto jolly)</t>
  </si>
  <si>
    <t xml:space="preserve">SAGOMA</t>
  </si>
  <si>
    <t xml:space="preserve">Sagomatura / tagli curvi</t>
  </si>
  <si>
    <t xml:space="preserve">FILO</t>
  </si>
  <si>
    <t xml:space="preserve">Filo lucido costa dritta</t>
  </si>
  <si>
    <t xml:space="preserve">BORDO</t>
  </si>
  <si>
    <t xml:space="preserve">BISELLO</t>
  </si>
  <si>
    <t xml:space="preserve">Bisello / smusso</t>
  </si>
  <si>
    <t xml:space="preserve">TORO</t>
  </si>
  <si>
    <t xml:space="preserve">Toro / mezzo toro</t>
  </si>
  <si>
    <t xml:space="preserve">INGROSSO</t>
  </si>
  <si>
    <t xml:space="preserve">Ingrossamento incollato (veletta)</t>
  </si>
  <si>
    <t xml:space="preserve">NO</t>
  </si>
  <si>
    <t xml:space="preserve">≈ 7 min/ml</t>
  </si>
  <si>
    <t xml:space="preserve">GOCCIOL</t>
  </si>
  <si>
    <t xml:space="preserve">Gocciolatoio</t>
  </si>
  <si>
    <t xml:space="preserve">ANTISCIV</t>
  </si>
  <si>
    <t xml:space="preserve">Scanalature antiscivolo</t>
  </si>
  <si>
    <t xml:space="preserve">FORO_SOTTO</t>
  </si>
  <si>
    <t xml:space="preserve">Foro lavello sottotop con filo lucido</t>
  </si>
  <si>
    <t xml:space="preserve">FORI</t>
  </si>
  <si>
    <t xml:space="preserve">pz</t>
  </si>
  <si>
    <t xml:space="preserve">≈ 40 min/pz</t>
  </si>
  <si>
    <t xml:space="preserve">FORO_APP</t>
  </si>
  <si>
    <t xml:space="preserve">Foro lavello/vasca da appoggio</t>
  </si>
  <si>
    <t xml:space="preserve">≈ 20 min/pz</t>
  </si>
  <si>
    <t xml:space="preserve">FORO_PC</t>
  </si>
  <si>
    <t xml:space="preserve">Foro piano cottura</t>
  </si>
  <si>
    <t xml:space="preserve">FORO_RUB</t>
  </si>
  <si>
    <t xml:space="preserve">Foro rubinetto / accessori</t>
  </si>
  <si>
    <t xml:space="preserve">≈ 3 min/pz</t>
  </si>
  <si>
    <t xml:space="preserve">LUCIDATURA</t>
  </si>
  <si>
    <t xml:space="preserve">Lucidatura superficie</t>
  </si>
  <si>
    <t xml:space="preserve">FINITURA</t>
  </si>
  <si>
    <t xml:space="preserve">m2</t>
  </si>
  <si>
    <t xml:space="preserve">LEVIGATURA</t>
  </si>
  <si>
    <t xml:space="preserve">Levigatura (opaco)</t>
  </si>
  <si>
    <t xml:space="preserve">SPAZZOLAT</t>
  </si>
  <si>
    <t xml:space="preserve">Spazzolatura</t>
  </si>
  <si>
    <t xml:space="preserve">FIAMMAT</t>
  </si>
  <si>
    <t xml:space="preserve">Fiammatura (solo graniti)</t>
  </si>
  <si>
    <t xml:space="preserve">RESINAT</t>
  </si>
  <si>
    <t xml:space="preserve">Resinatura / trattamento protettivo</t>
  </si>
  <si>
    <t xml:space="preserve">MONTAGGIO</t>
  </si>
  <si>
    <t xml:space="preserve">Assemblaggio / incollaggio a banco</t>
  </si>
  <si>
    <t xml:space="preserve">≈ 30 min/pz</t>
  </si>
  <si>
    <t xml:space="preserve">MOVIM</t>
  </si>
  <si>
    <t xml:space="preserve">Movimentazione e carico lastra</t>
  </si>
  <si>
    <t xml:space="preserve">ALTRO</t>
  </si>
  <si>
    <t xml:space="preserve">≈ 5 min/pz</t>
  </si>
  <si>
    <t xml:space="preserve">IMBALLO_MO</t>
  </si>
  <si>
    <t xml:space="preserve">Imballo (manodopera)</t>
  </si>
  <si>
    <t xml:space="preserve">≈ 2 min/m²</t>
  </si>
  <si>
    <t xml:space="preserve">Modello</t>
  </si>
  <si>
    <t xml:space="preserve">Label_L</t>
  </si>
  <si>
    <t xml:space="preserve">Label_P</t>
  </si>
  <si>
    <t xml:space="preserve">Label_H</t>
  </si>
  <si>
    <t xml:space="preserve">Label_N</t>
  </si>
  <si>
    <t xml:space="preserve">Default_L</t>
  </si>
  <si>
    <t xml:space="preserve">Default_P</t>
  </si>
  <si>
    <t xml:space="preserve">Default_H</t>
  </si>
  <si>
    <t xml:space="preserve">Default_N</t>
  </si>
  <si>
    <t xml:space="preserve">Sfrido_override</t>
  </si>
  <si>
    <t xml:space="preserve">TOP_CUCINA</t>
  </si>
  <si>
    <t xml:space="preserve">Top cucina</t>
  </si>
  <si>
    <t xml:space="preserve">Lunghezza (cm)</t>
  </si>
  <si>
    <t xml:space="preserve">Profondità (cm)</t>
  </si>
  <si>
    <t xml:space="preserve">Altezza alzatina (cm, 0 = no)</t>
  </si>
  <si>
    <t xml:space="preserve">N. pezzi</t>
  </si>
  <si>
    <t xml:space="preserve">TOP_BAGNO</t>
  </si>
  <si>
    <t xml:space="preserve">Top bagno</t>
  </si>
  <si>
    <t xml:space="preserve">Altezza veletta/alzatina (cm, 0 = no)</t>
  </si>
  <si>
    <t xml:space="preserve">SCALA</t>
  </si>
  <si>
    <t xml:space="preserve">Scala (pedate + alzate)</t>
  </si>
  <si>
    <t xml:space="preserve">Larghezza gradino (cm)</t>
  </si>
  <si>
    <t xml:space="preserve">Pedata (cm)</t>
  </si>
  <si>
    <t xml:space="preserve">Alzata (cm, 0 = senza alzate)</t>
  </si>
  <si>
    <t xml:space="preserve">N. gradini</t>
  </si>
  <si>
    <t xml:space="preserve">DAVANZALE</t>
  </si>
  <si>
    <t xml:space="preserve">Davanzale / soglia</t>
  </si>
  <si>
    <t xml:space="preserve">—</t>
  </si>
  <si>
    <t xml:space="preserve">BANCONE</t>
  </si>
  <si>
    <t xml:space="preserve">Bancone (piano + frontale a 45°)</t>
  </si>
  <si>
    <t xml:space="preserve">Profondità piano (cm)</t>
  </si>
  <si>
    <t xml:space="preserve">Altezza frontale (cm)</t>
  </si>
  <si>
    <t xml:space="preserve">N. banconi</t>
  </si>
  <si>
    <t xml:space="preserve">RIVESTIM</t>
  </si>
  <si>
    <t xml:space="preserve">Rivestimento / pavimento a misura</t>
  </si>
  <si>
    <t xml:space="preserve">Larghezza (cm)</t>
  </si>
  <si>
    <t xml:space="preserve">N. lastre/pezzi</t>
  </si>
  <si>
    <t xml:space="preserve">LIBERO</t>
  </si>
  <si>
    <t xml:space="preserve">Pezzo libero</t>
  </si>
  <si>
    <t xml:space="preserve">Altezza 2° elemento (cm)</t>
  </si>
  <si>
    <t xml:space="preserve">Base</t>
  </si>
  <si>
    <t xml:space="preserve">Coeff</t>
  </si>
  <si>
    <t xml:space="preserve">Attiva_default</t>
  </si>
  <si>
    <t xml:space="preserve">Nota</t>
  </si>
  <si>
    <t xml:space="preserve">ML_PERIM</t>
  </si>
  <si>
    <t xml:space="preserve">Taglio del piano</t>
  </si>
  <si>
    <t xml:space="preserve">ML_FRONTE</t>
  </si>
  <si>
    <t xml:space="preserve">Filo lucido sul fronte</t>
  </si>
  <si>
    <t xml:space="preserve">ML_LATI</t>
  </si>
  <si>
    <t xml:space="preserve">Testate a vista (una per lato)</t>
  </si>
  <si>
    <t xml:space="preserve">MANUALE</t>
  </si>
  <si>
    <t xml:space="preserve">Lavello sottotop</t>
  </si>
  <si>
    <t xml:space="preserve">Piano cottura</t>
  </si>
  <si>
    <t xml:space="preserve">Rubinetto</t>
  </si>
  <si>
    <t xml:space="preserve">ML_PERIM_H</t>
  </si>
  <si>
    <t xml:space="preserve">Taglio alzatina</t>
  </si>
  <si>
    <t xml:space="preserve">ML_ALZ</t>
  </si>
  <si>
    <t xml:space="preserve">Filo lucido alzatina</t>
  </si>
  <si>
    <t xml:space="preserve">N_PZ</t>
  </si>
  <si>
    <t xml:space="preserve">AREA</t>
  </si>
  <si>
    <t xml:space="preserve">Lati a vista</t>
  </si>
  <si>
    <t xml:space="preserve">Veletta ingrossata</t>
  </si>
  <si>
    <t xml:space="preserve">Alzatina/veletta</t>
  </si>
  <si>
    <t xml:space="preserve">Pedate</t>
  </si>
  <si>
    <t xml:space="preserve">Alzate</t>
  </si>
  <si>
    <t xml:space="preserve">Fronte pedata</t>
  </si>
  <si>
    <t xml:space="preserve">Alternativa al toro</t>
  </si>
  <si>
    <t xml:space="preserve">Lato a vista (scala a giorno)</t>
  </si>
  <si>
    <t xml:space="preserve">2 righe per gradino</t>
  </si>
  <si>
    <t xml:space="preserve">Testate</t>
  </si>
  <si>
    <t xml:space="preserve">Piano</t>
  </si>
  <si>
    <t xml:space="preserve">Frontale</t>
  </si>
  <si>
    <t xml:space="preserve">Giunto piano-frontale</t>
  </si>
  <si>
    <t xml:space="preserve">N</t>
  </si>
  <si>
    <t xml:space="preserve">Incollaggio a banco</t>
  </si>
  <si>
    <t xml:space="preserve">Imballo più voluminoso</t>
  </si>
  <si>
    <t xml:space="preserve">Spigoli a 45° (ml da inserire)</t>
  </si>
  <si>
    <t xml:space="preserve">Movimentazione a lotti</t>
  </si>
  <si>
    <t xml:space="preserve">Voce</t>
  </si>
  <si>
    <t xml:space="preserve">Costo_unitario</t>
  </si>
  <si>
    <t xml:space="preserve">Base_default</t>
  </si>
  <si>
    <t xml:space="preserve">Attivo_default</t>
  </si>
  <si>
    <t xml:space="preserve">Visibile_cliente</t>
  </si>
  <si>
    <t xml:space="preserve">IMB_PALLET</t>
  </si>
  <si>
    <t xml:space="preserve">Imballo pallet + angolari + film</t>
  </si>
  <si>
    <t xml:space="preserve">M2_TOT</t>
  </si>
  <si>
    <t xml:space="preserve">Costo interno, ripartito sui prodotti</t>
  </si>
  <si>
    <t xml:space="preserve">IMB_CASSA</t>
  </si>
  <si>
    <t xml:space="preserve">Cassa in legno (spedizione/estero)</t>
  </si>
  <si>
    <t xml:space="preserve">0</t>
  </si>
  <si>
    <t xml:space="preserve">SILICONE</t>
  </si>
  <si>
    <t xml:space="preserve">Sigillature e materiale di consumo</t>
  </si>
  <si>
    <t xml:space="preserve">forfait</t>
  </si>
  <si>
    <t xml:space="preserve">RILIEVO</t>
  </si>
  <si>
    <t xml:space="preserve">Rilievo misure in cantiere</t>
  </si>
  <si>
    <t xml:space="preserve">1</t>
  </si>
  <si>
    <t xml:space="preserve">Riga visibile in offerta</t>
  </si>
  <si>
    <t xml:space="preserve">POSA_M2</t>
  </si>
  <si>
    <t xml:space="preserve">Posa in opera</t>
  </si>
  <si>
    <t xml:space="preserve">LCM fa poca posa</t>
  </si>
  <si>
    <t xml:space="preserve">POSA_H</t>
  </si>
  <si>
    <t xml:space="preserve">Assistenza / posa a ore</t>
  </si>
  <si>
    <t xml:space="preserve">h</t>
  </si>
  <si>
    <t xml:space="preserve">Aliquota</t>
  </si>
  <si>
    <t xml:space="preserve">Dicitura_offerta</t>
  </si>
  <si>
    <t xml:space="preserve">IVA 22% ordinaria</t>
  </si>
  <si>
    <t xml:space="preserve">IVA10</t>
  </si>
  <si>
    <t xml:space="preserve">IVA 10% agevolata (recupero edilizio)</t>
  </si>
  <si>
    <t xml:space="preserve">Aliquota agevolata 10% su dichiarazione del cliente; requisiti da verificare.</t>
  </si>
  <si>
    <t xml:space="preserve">IVA4</t>
  </si>
  <si>
    <t xml:space="preserve">IVA 4% agevolata</t>
  </si>
  <si>
    <t xml:space="preserve">Aliquota agevolata 4% su dichiarazione del cliente; requisiti da verificare.</t>
  </si>
  <si>
    <t xml:space="preserve">Non imponibile – esportazione extra UE</t>
  </si>
  <si>
    <t xml:space="preserve">Operazione non imponibile IVA ai sensi dell'art. 8 DPR 633/72.</t>
  </si>
  <si>
    <t xml:space="preserve">ESENTE_UE</t>
  </si>
  <si>
    <t xml:space="preserve">Non imponibile – cessione intracomunitaria</t>
  </si>
  <si>
    <t xml:space="preserve">Operazione non imponibile IVA ai sensi dell'art. 41 DL 331/93.</t>
  </si>
  <si>
    <t xml:space="preserve">REVERSE</t>
  </si>
  <si>
    <t xml:space="preserve">Reverse charge</t>
  </si>
  <si>
    <t xml:space="preserve">Operazione soggetta a inversione contabile (reverse charge).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</si>
</sst>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&quot;€ &quot;#,##0.00"/>
    <numFmt numFmtId="167" formatCode="0.00"/>
    <numFmt numFmtId="168" formatCode="0.0"/>
    <numFmt numFmtId="169" formatCode="&quot;€ &quot;#,##0.00;&quot;-€ &quot;#,##0.00;\-"/>
    <numFmt numFmtId="170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A3F44"/>
        <bgColor rgb="FF333300"/>
      </patternFill>
    </fill>
    <fill>
      <patternFill patternType="solid">
        <fgColor rgb="FFEEF1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4"/>
      <rgbColor rgb="FFCCFFFF"/>
      <rgbColor rgb="FF660066"/>
      <rgbColor rgb="FFFF8080"/>
      <rgbColor rgb="FF0066CC"/>
      <rgbColor rgb="FFD0D4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3F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4" t="s">
        <v>24</v>
      </c>
      <c r="B1" s="4" t="s">
        <v>25</v>
      </c>
      <c r="C1" s="4" t="s">
        <v>26</v>
      </c>
    </row>
    <row r="2" customFormat="false" ht="15" hidden="false" customHeight="false" outlineLevel="0" collapsed="false">
      <c r="A2" s="5" t="s">
        <v>27</v>
      </c>
      <c r="B2" s="6" t="n">
        <v>0.18</v>
      </c>
      <c r="C2" s="5" t="s">
        <v>28</v>
      </c>
    </row>
    <row r="3" customFormat="false" ht="15" hidden="false" customHeight="false" outlineLevel="0" collapsed="false">
      <c r="A3" s="5" t="s">
        <v>29</v>
      </c>
      <c r="B3" s="6" t="n">
        <v>0.4</v>
      </c>
      <c r="C3" s="5" t="s">
        <v>30</v>
      </c>
    </row>
    <row r="4" customFormat="false" ht="15" hidden="false" customHeight="false" outlineLevel="0" collapsed="false">
      <c r="A4" s="5" t="s">
        <v>31</v>
      </c>
      <c r="B4" s="6" t="n">
        <v>0.25</v>
      </c>
      <c r="C4" s="5" t="s">
        <v>32</v>
      </c>
    </row>
    <row r="5" customFormat="false" ht="15" hidden="false" customHeight="false" outlineLevel="0" collapsed="false">
      <c r="A5" s="5" t="s">
        <v>33</v>
      </c>
      <c r="B5" s="6" t="n">
        <v>0.3</v>
      </c>
      <c r="C5" s="5" t="s">
        <v>34</v>
      </c>
    </row>
    <row r="6" customFormat="false" ht="15" hidden="false" customHeight="false" outlineLevel="0" collapsed="false">
      <c r="A6" s="5" t="s">
        <v>35</v>
      </c>
      <c r="B6" s="5" t="n">
        <v>0.22</v>
      </c>
      <c r="C6" s="5" t="s">
        <v>36</v>
      </c>
    </row>
    <row r="7" customFormat="false" ht="15" hidden="false" customHeight="false" outlineLevel="0" collapsed="false">
      <c r="A7" s="5" t="s">
        <v>37</v>
      </c>
      <c r="B7" s="7" t="s">
        <v>38</v>
      </c>
      <c r="C7" s="5" t="s">
        <v>39</v>
      </c>
    </row>
    <row r="8" customFormat="false" ht="15" hidden="false" customHeight="false" outlineLevel="0" collapsed="false">
      <c r="A8" s="5" t="s">
        <v>40</v>
      </c>
      <c r="B8" s="5" t="s">
        <v>38</v>
      </c>
      <c r="C8" s="5" t="s">
        <v>41</v>
      </c>
    </row>
    <row r="9" customFormat="false" ht="15" hidden="false" customHeight="false" outlineLevel="0" collapsed="false">
      <c r="A9" s="5" t="s">
        <v>42</v>
      </c>
      <c r="B9" s="5" t="s">
        <v>43</v>
      </c>
      <c r="C9" s="5" t="s">
        <v>44</v>
      </c>
    </row>
    <row r="10" customFormat="false" ht="15" hidden="false" customHeight="false" outlineLevel="0" collapsed="false">
      <c r="A10" s="5" t="s">
        <v>45</v>
      </c>
      <c r="B10" s="5" t="n">
        <v>32</v>
      </c>
      <c r="C10" s="5" t="s">
        <v>46</v>
      </c>
    </row>
    <row r="11" customFormat="false" ht="15" hidden="false" customHeight="false" outlineLevel="0" collapsed="false">
      <c r="A11" s="5" t="s">
        <v>47</v>
      </c>
      <c r="B11" s="5" t="n">
        <v>5</v>
      </c>
      <c r="C11" s="5" t="s">
        <v>48</v>
      </c>
    </row>
    <row r="12" customFormat="false" ht="15" hidden="false" customHeight="false" outlineLevel="0" collapsed="false">
      <c r="A12" s="5" t="s">
        <v>49</v>
      </c>
      <c r="B12" s="5" t="n">
        <v>30</v>
      </c>
      <c r="C12" s="5" t="s">
        <v>50</v>
      </c>
    </row>
    <row r="13" customFormat="false" ht="15" hidden="false" customHeight="false" outlineLevel="0" collapsed="false">
      <c r="A13" s="5" t="s">
        <v>51</v>
      </c>
      <c r="B13" s="5" t="s">
        <v>52</v>
      </c>
      <c r="C13" s="5" t="s">
        <v>53</v>
      </c>
    </row>
    <row r="14" customFormat="false" ht="15" hidden="false" customHeight="false" outlineLevel="0" collapsed="false">
      <c r="A14" s="5" t="s">
        <v>54</v>
      </c>
      <c r="B14" s="5" t="s">
        <v>55</v>
      </c>
      <c r="C14" s="5" t="s">
        <v>56</v>
      </c>
    </row>
    <row r="15" customFormat="false" ht="15" hidden="false" customHeight="false" outlineLevel="0" collapsed="false">
      <c r="A15" s="5" t="s">
        <v>57</v>
      </c>
      <c r="B15" s="5" t="s">
        <v>58</v>
      </c>
      <c r="C15" s="5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28"/>
  </cols>
  <sheetData>
    <row r="1" customFormat="false" ht="15" hidden="false" customHeight="false" outlineLevel="0" collapsed="false">
      <c r="A1" s="4" t="s">
        <v>60</v>
      </c>
      <c r="B1" s="4" t="s">
        <v>61</v>
      </c>
      <c r="C1" s="4" t="s">
        <v>62</v>
      </c>
      <c r="D1" s="4" t="s">
        <v>63</v>
      </c>
    </row>
    <row r="2" customFormat="false" ht="15" hidden="false" customHeight="false" outlineLevel="0" collapsed="false">
      <c r="A2" s="5" t="s">
        <v>64</v>
      </c>
      <c r="B2" s="5" t="s">
        <v>65</v>
      </c>
      <c r="C2" s="5" t="s">
        <v>66</v>
      </c>
      <c r="D2" s="5" t="s">
        <v>67</v>
      </c>
    </row>
    <row r="3" customFormat="false" ht="15" hidden="false" customHeight="false" outlineLevel="0" collapsed="false">
      <c r="A3" s="5" t="s">
        <v>68</v>
      </c>
      <c r="B3" s="5" t="s">
        <v>69</v>
      </c>
      <c r="C3" s="5" t="s">
        <v>70</v>
      </c>
      <c r="D3" s="5" t="s">
        <v>71</v>
      </c>
    </row>
    <row r="4" customFormat="false" ht="15" hidden="false" customHeight="false" outlineLevel="0" collapsed="false">
      <c r="A4" s="5" t="s">
        <v>72</v>
      </c>
      <c r="B4" s="5" t="s">
        <v>73</v>
      </c>
      <c r="C4" s="5" t="s">
        <v>74</v>
      </c>
      <c r="D4" s="5" t="s">
        <v>67</v>
      </c>
    </row>
    <row r="5" customFormat="false" ht="15" hidden="false" customHeight="false" outlineLevel="0" collapsed="false">
      <c r="A5" s="5" t="s">
        <v>75</v>
      </c>
      <c r="B5" s="5" t="s">
        <v>76</v>
      </c>
      <c r="C5" s="5" t="s">
        <v>77</v>
      </c>
      <c r="D5" s="5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19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4" t="s">
        <v>78</v>
      </c>
      <c r="B1" s="4" t="s">
        <v>26</v>
      </c>
      <c r="C1" s="4" t="s">
        <v>79</v>
      </c>
      <c r="D1" s="4" t="s">
        <v>63</v>
      </c>
    </row>
    <row r="2" customFormat="false" ht="15" hidden="false" customHeight="false" outlineLevel="0" collapsed="false">
      <c r="A2" s="5" t="s">
        <v>80</v>
      </c>
      <c r="B2" s="5" t="s">
        <v>81</v>
      </c>
      <c r="C2" s="8" t="n">
        <v>1</v>
      </c>
      <c r="D2" s="5" t="s">
        <v>82</v>
      </c>
    </row>
    <row r="3" customFormat="false" ht="15" hidden="false" customHeight="false" outlineLevel="0" collapsed="false">
      <c r="A3" s="5" t="s">
        <v>83</v>
      </c>
      <c r="B3" s="5" t="s">
        <v>84</v>
      </c>
      <c r="C3" s="8" t="n">
        <v>1.6</v>
      </c>
      <c r="D3" s="5" t="s">
        <v>85</v>
      </c>
    </row>
    <row r="4" customFormat="false" ht="15" hidden="false" customHeight="false" outlineLevel="0" collapsed="false">
      <c r="A4" s="5" t="s">
        <v>86</v>
      </c>
      <c r="B4" s="5" t="s">
        <v>87</v>
      </c>
      <c r="C4" s="8" t="n">
        <v>2</v>
      </c>
      <c r="D4" s="5" t="s">
        <v>88</v>
      </c>
    </row>
    <row r="5" customFormat="false" ht="15" hidden="false" customHeight="false" outlineLevel="0" collapsed="false">
      <c r="A5" s="5" t="s">
        <v>89</v>
      </c>
      <c r="B5" s="5" t="s">
        <v>90</v>
      </c>
      <c r="C5" s="8" t="n">
        <v>1.3</v>
      </c>
      <c r="D5" s="5"/>
    </row>
    <row r="6" customFormat="false" ht="15" hidden="false" customHeight="false" outlineLevel="0" collapsed="false">
      <c r="A6" s="5" t="s">
        <v>91</v>
      </c>
      <c r="B6" s="5" t="s">
        <v>92</v>
      </c>
      <c r="C6" s="8" t="n">
        <v>1.8</v>
      </c>
      <c r="D6" s="5" t="s">
        <v>93</v>
      </c>
    </row>
    <row r="7" customFormat="false" ht="15" hidden="false" customHeight="false" outlineLevel="0" collapsed="false">
      <c r="A7" s="5" t="s">
        <v>94</v>
      </c>
      <c r="B7" s="5" t="s">
        <v>95</v>
      </c>
      <c r="C7" s="8" t="n">
        <v>1.5</v>
      </c>
      <c r="D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4" t="s">
        <v>96</v>
      </c>
      <c r="B1" s="4" t="s">
        <v>97</v>
      </c>
    </row>
    <row r="2" customFormat="false" ht="15" hidden="false" customHeight="false" outlineLevel="0" collapsed="false">
      <c r="A2" s="9" t="n">
        <v>0.6</v>
      </c>
      <c r="B2" s="8" t="n">
        <v>0.7</v>
      </c>
    </row>
    <row r="3" customFormat="false" ht="15" hidden="false" customHeight="false" outlineLevel="0" collapsed="false">
      <c r="A3" s="9" t="n">
        <v>1.2</v>
      </c>
      <c r="B3" s="8" t="n">
        <v>0.85</v>
      </c>
    </row>
    <row r="4" customFormat="false" ht="15" hidden="false" customHeight="false" outlineLevel="0" collapsed="false">
      <c r="A4" s="9" t="n">
        <v>2</v>
      </c>
      <c r="B4" s="8" t="n">
        <v>1</v>
      </c>
    </row>
    <row r="5" customFormat="false" ht="15" hidden="false" customHeight="false" outlineLevel="0" collapsed="false">
      <c r="A5" s="9" t="n">
        <v>3</v>
      </c>
      <c r="B5" s="8" t="n">
        <v>1.3</v>
      </c>
    </row>
    <row r="6" customFormat="false" ht="15" hidden="false" customHeight="false" outlineLevel="0" collapsed="false">
      <c r="A6" s="9" t="n">
        <v>4</v>
      </c>
      <c r="B6" s="8" t="n">
        <v>1.6</v>
      </c>
    </row>
    <row r="7" customFormat="false" ht="15" hidden="false" customHeight="false" outlineLevel="0" collapsed="false">
      <c r="A7" s="9" t="n">
        <v>5</v>
      </c>
      <c r="B7" s="8" t="n">
        <v>1.9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5"/>
  </cols>
  <sheetData>
    <row r="1" customFormat="false" ht="15" hidden="false" customHeight="false" outlineLevel="0" collapsed="false">
      <c r="A1" s="4" t="s">
        <v>60</v>
      </c>
      <c r="B1" s="4" t="s">
        <v>98</v>
      </c>
      <c r="C1" s="4" t="s">
        <v>78</v>
      </c>
      <c r="D1" s="4" t="s">
        <v>99</v>
      </c>
      <c r="E1" s="4" t="s">
        <v>96</v>
      </c>
      <c r="F1" s="4" t="s">
        <v>100</v>
      </c>
      <c r="G1" s="4" t="s">
        <v>101</v>
      </c>
      <c r="H1" s="4" t="s">
        <v>102</v>
      </c>
      <c r="I1" s="4" t="s">
        <v>103</v>
      </c>
      <c r="J1" s="4" t="s">
        <v>104</v>
      </c>
      <c r="K1" s="4" t="s">
        <v>105</v>
      </c>
      <c r="L1" s="4" t="s">
        <v>106</v>
      </c>
    </row>
    <row r="2" customFormat="false" ht="15" hidden="false" customHeight="false" outlineLevel="0" collapsed="false">
      <c r="A2" s="5" t="s">
        <v>107</v>
      </c>
      <c r="B2" s="5" t="s">
        <v>108</v>
      </c>
      <c r="C2" s="5" t="s">
        <v>80</v>
      </c>
      <c r="D2" s="5" t="s">
        <v>64</v>
      </c>
      <c r="E2" s="9" t="n">
        <v>2</v>
      </c>
      <c r="F2" s="10" t="n">
        <v>95</v>
      </c>
      <c r="G2" s="5" t="n">
        <v>300</v>
      </c>
      <c r="H2" s="5" t="n">
        <v>160</v>
      </c>
      <c r="I2" s="6" t="n">
        <v>0.2</v>
      </c>
      <c r="J2" s="5" t="s">
        <v>109</v>
      </c>
      <c r="K2" s="11" t="n">
        <f aca="false">G2*H2/10000</f>
        <v>4.8</v>
      </c>
      <c r="L2" s="12" t="n">
        <f aca="false">F2*G2*H2/10000</f>
        <v>456</v>
      </c>
    </row>
    <row r="3" customFormat="false" ht="15" hidden="false" customHeight="false" outlineLevel="0" collapsed="false">
      <c r="A3" s="5" t="s">
        <v>110</v>
      </c>
      <c r="B3" s="5" t="s">
        <v>108</v>
      </c>
      <c r="C3" s="5" t="s">
        <v>80</v>
      </c>
      <c r="D3" s="5" t="s">
        <v>64</v>
      </c>
      <c r="E3" s="9" t="n">
        <v>3</v>
      </c>
      <c r="F3" s="10" t="n">
        <v>130</v>
      </c>
      <c r="G3" s="5" t="n">
        <v>300</v>
      </c>
      <c r="H3" s="5" t="n">
        <v>160</v>
      </c>
      <c r="I3" s="6" t="n">
        <v>0.2</v>
      </c>
      <c r="J3" s="5" t="s">
        <v>109</v>
      </c>
      <c r="K3" s="11" t="n">
        <f aca="false">G3*H3/10000</f>
        <v>4.8</v>
      </c>
      <c r="L3" s="12" t="n">
        <f aca="false">F3*G3*H3/10000</f>
        <v>624</v>
      </c>
    </row>
    <row r="4" customFormat="false" ht="15" hidden="false" customHeight="false" outlineLevel="0" collapsed="false">
      <c r="A4" s="5" t="s">
        <v>111</v>
      </c>
      <c r="B4" s="5" t="s">
        <v>112</v>
      </c>
      <c r="C4" s="5" t="s">
        <v>80</v>
      </c>
      <c r="D4" s="5" t="s">
        <v>64</v>
      </c>
      <c r="E4" s="9" t="n">
        <v>2</v>
      </c>
      <c r="F4" s="10" t="n">
        <v>70</v>
      </c>
      <c r="G4" s="5" t="n">
        <v>290</v>
      </c>
      <c r="H4" s="5" t="n">
        <v>150</v>
      </c>
      <c r="I4" s="6" t="n">
        <v>0.2</v>
      </c>
      <c r="J4" s="5" t="s">
        <v>109</v>
      </c>
      <c r="K4" s="11" t="n">
        <f aca="false">G4*H4/10000</f>
        <v>4.35</v>
      </c>
      <c r="L4" s="12" t="n">
        <f aca="false">F4*G4*H4/10000</f>
        <v>304.5</v>
      </c>
    </row>
    <row r="5" customFormat="false" ht="15" hidden="false" customHeight="false" outlineLevel="0" collapsed="false">
      <c r="A5" s="5" t="s">
        <v>113</v>
      </c>
      <c r="B5" s="5" t="s">
        <v>112</v>
      </c>
      <c r="C5" s="5" t="s">
        <v>80</v>
      </c>
      <c r="D5" s="5" t="s">
        <v>64</v>
      </c>
      <c r="E5" s="9" t="n">
        <v>3</v>
      </c>
      <c r="F5" s="10" t="n">
        <v>95</v>
      </c>
      <c r="G5" s="5" t="n">
        <v>290</v>
      </c>
      <c r="H5" s="5" t="n">
        <v>150</v>
      </c>
      <c r="I5" s="6" t="n">
        <v>0.2</v>
      </c>
      <c r="J5" s="5" t="s">
        <v>109</v>
      </c>
      <c r="K5" s="11" t="n">
        <f aca="false">G5*H5/10000</f>
        <v>4.35</v>
      </c>
      <c r="L5" s="12" t="n">
        <f aca="false">F5*G5*H5/10000</f>
        <v>413.25</v>
      </c>
    </row>
    <row r="6" customFormat="false" ht="15" hidden="false" customHeight="false" outlineLevel="0" collapsed="false">
      <c r="A6" s="5" t="s">
        <v>114</v>
      </c>
      <c r="B6" s="5" t="s">
        <v>115</v>
      </c>
      <c r="C6" s="5" t="s">
        <v>80</v>
      </c>
      <c r="D6" s="5" t="s">
        <v>64</v>
      </c>
      <c r="E6" s="9" t="n">
        <v>2</v>
      </c>
      <c r="F6" s="10" t="n">
        <v>140</v>
      </c>
      <c r="G6" s="5" t="n">
        <v>280</v>
      </c>
      <c r="H6" s="5" t="n">
        <v>150</v>
      </c>
      <c r="I6" s="6" t="n">
        <v>0.25</v>
      </c>
      <c r="J6" s="5" t="s">
        <v>109</v>
      </c>
      <c r="K6" s="11" t="n">
        <f aca="false">G6*H6/10000</f>
        <v>4.2</v>
      </c>
      <c r="L6" s="12" t="n">
        <f aca="false">F6*G6*H6/10000</f>
        <v>588</v>
      </c>
    </row>
    <row r="7" customFormat="false" ht="15" hidden="false" customHeight="false" outlineLevel="0" collapsed="false">
      <c r="A7" s="5" t="s">
        <v>116</v>
      </c>
      <c r="B7" s="5" t="s">
        <v>117</v>
      </c>
      <c r="C7" s="5" t="s">
        <v>83</v>
      </c>
      <c r="D7" s="5" t="s">
        <v>68</v>
      </c>
      <c r="E7" s="9" t="n">
        <v>2</v>
      </c>
      <c r="F7" s="10" t="n">
        <v>120</v>
      </c>
      <c r="G7" s="5" t="n">
        <v>300</v>
      </c>
      <c r="H7" s="5" t="n">
        <v>180</v>
      </c>
      <c r="I7" s="6" t="n">
        <v>0.15</v>
      </c>
      <c r="J7" s="5" t="s">
        <v>109</v>
      </c>
      <c r="K7" s="11" t="n">
        <f aca="false">G7*H7/10000</f>
        <v>5.4</v>
      </c>
      <c r="L7" s="12" t="n">
        <f aca="false">F7*G7*H7/10000</f>
        <v>648</v>
      </c>
    </row>
    <row r="8" customFormat="false" ht="15" hidden="false" customHeight="false" outlineLevel="0" collapsed="false">
      <c r="A8" s="5" t="s">
        <v>118</v>
      </c>
      <c r="B8" s="5" t="s">
        <v>117</v>
      </c>
      <c r="C8" s="5" t="s">
        <v>83</v>
      </c>
      <c r="D8" s="5" t="s">
        <v>68</v>
      </c>
      <c r="E8" s="9" t="n">
        <v>3</v>
      </c>
      <c r="F8" s="10" t="n">
        <v>165</v>
      </c>
      <c r="G8" s="5" t="n">
        <v>300</v>
      </c>
      <c r="H8" s="5" t="n">
        <v>180</v>
      </c>
      <c r="I8" s="6" t="n">
        <v>0.15</v>
      </c>
      <c r="J8" s="5" t="s">
        <v>109</v>
      </c>
      <c r="K8" s="11" t="n">
        <f aca="false">G8*H8/10000</f>
        <v>5.4</v>
      </c>
      <c r="L8" s="12" t="n">
        <f aca="false">F8*G8*H8/10000</f>
        <v>891</v>
      </c>
    </row>
    <row r="9" customFormat="false" ht="15" hidden="false" customHeight="false" outlineLevel="0" collapsed="false">
      <c r="A9" s="5" t="s">
        <v>119</v>
      </c>
      <c r="B9" s="5" t="s">
        <v>120</v>
      </c>
      <c r="C9" s="5" t="s">
        <v>83</v>
      </c>
      <c r="D9" s="5" t="s">
        <v>68</v>
      </c>
      <c r="E9" s="9" t="n">
        <v>2</v>
      </c>
      <c r="F9" s="10" t="n">
        <v>55</v>
      </c>
      <c r="G9" s="5" t="n">
        <v>300</v>
      </c>
      <c r="H9" s="5" t="n">
        <v>180</v>
      </c>
      <c r="I9" s="6" t="n">
        <v>0.15</v>
      </c>
      <c r="J9" s="5" t="s">
        <v>109</v>
      </c>
      <c r="K9" s="11" t="n">
        <f aca="false">G9*H9/10000</f>
        <v>5.4</v>
      </c>
      <c r="L9" s="12" t="n">
        <f aca="false">F9*G9*H9/10000</f>
        <v>297</v>
      </c>
    </row>
    <row r="10" customFormat="false" ht="15" hidden="false" customHeight="false" outlineLevel="0" collapsed="false">
      <c r="A10" s="5" t="s">
        <v>121</v>
      </c>
      <c r="B10" s="5" t="s">
        <v>120</v>
      </c>
      <c r="C10" s="5" t="s">
        <v>83</v>
      </c>
      <c r="D10" s="5" t="s">
        <v>68</v>
      </c>
      <c r="E10" s="9" t="n">
        <v>3</v>
      </c>
      <c r="F10" s="10" t="n">
        <v>75</v>
      </c>
      <c r="G10" s="5" t="n">
        <v>300</v>
      </c>
      <c r="H10" s="5" t="n">
        <v>180</v>
      </c>
      <c r="I10" s="6" t="n">
        <v>0.15</v>
      </c>
      <c r="J10" s="5" t="s">
        <v>109</v>
      </c>
      <c r="K10" s="11" t="n">
        <f aca="false">G10*H10/10000</f>
        <v>5.4</v>
      </c>
      <c r="L10" s="12" t="n">
        <f aca="false">F10*G10*H10/10000</f>
        <v>405</v>
      </c>
    </row>
    <row r="11" customFormat="false" ht="15" hidden="false" customHeight="false" outlineLevel="0" collapsed="false">
      <c r="A11" s="5" t="s">
        <v>122</v>
      </c>
      <c r="B11" s="5" t="s">
        <v>123</v>
      </c>
      <c r="C11" s="5" t="s">
        <v>83</v>
      </c>
      <c r="D11" s="5" t="s">
        <v>68</v>
      </c>
      <c r="E11" s="9" t="n">
        <v>3</v>
      </c>
      <c r="F11" s="10" t="n">
        <v>80</v>
      </c>
      <c r="G11" s="5" t="n">
        <v>300</v>
      </c>
      <c r="H11" s="5" t="n">
        <v>180</v>
      </c>
      <c r="I11" s="6" t="n">
        <v>0.15</v>
      </c>
      <c r="J11" s="5" t="s">
        <v>109</v>
      </c>
      <c r="K11" s="11" t="n">
        <f aca="false">G11*H11/10000</f>
        <v>5.4</v>
      </c>
      <c r="L11" s="12" t="n">
        <f aca="false">F11*G11*H11/10000</f>
        <v>432</v>
      </c>
    </row>
    <row r="12" customFormat="false" ht="15" hidden="false" customHeight="false" outlineLevel="0" collapsed="false">
      <c r="A12" s="5" t="s">
        <v>124</v>
      </c>
      <c r="B12" s="5" t="s">
        <v>125</v>
      </c>
      <c r="C12" s="5" t="s">
        <v>86</v>
      </c>
      <c r="D12" s="5" t="s">
        <v>68</v>
      </c>
      <c r="E12" s="9" t="n">
        <v>2</v>
      </c>
      <c r="F12" s="10" t="n">
        <v>260</v>
      </c>
      <c r="G12" s="5" t="n">
        <v>300</v>
      </c>
      <c r="H12" s="5" t="n">
        <v>190</v>
      </c>
      <c r="I12" s="6" t="n">
        <v>0.25</v>
      </c>
      <c r="J12" s="5" t="s">
        <v>109</v>
      </c>
      <c r="K12" s="11" t="n">
        <f aca="false">G12*H12/10000</f>
        <v>5.7</v>
      </c>
      <c r="L12" s="12" t="n">
        <f aca="false">F12*G12*H12/10000</f>
        <v>1482</v>
      </c>
    </row>
    <row r="13" customFormat="false" ht="15" hidden="false" customHeight="false" outlineLevel="0" collapsed="false">
      <c r="A13" s="5" t="s">
        <v>126</v>
      </c>
      <c r="B13" s="5" t="s">
        <v>127</v>
      </c>
      <c r="C13" s="5" t="s">
        <v>89</v>
      </c>
      <c r="D13" s="5" t="s">
        <v>75</v>
      </c>
      <c r="E13" s="9" t="n">
        <v>2</v>
      </c>
      <c r="F13" s="10" t="n">
        <v>120</v>
      </c>
      <c r="G13" s="5" t="n">
        <v>306</v>
      </c>
      <c r="H13" s="5" t="n">
        <v>140</v>
      </c>
      <c r="I13" s="6" t="n">
        <v>0.15</v>
      </c>
      <c r="J13" s="5" t="s">
        <v>109</v>
      </c>
      <c r="K13" s="11" t="n">
        <f aca="false">G13*H13/10000</f>
        <v>4.284</v>
      </c>
      <c r="L13" s="12" t="n">
        <f aca="false">F13*G13*H13/10000</f>
        <v>514.08</v>
      </c>
    </row>
    <row r="14" customFormat="false" ht="15" hidden="false" customHeight="false" outlineLevel="0" collapsed="false">
      <c r="A14" s="5" t="s">
        <v>128</v>
      </c>
      <c r="B14" s="5" t="s">
        <v>127</v>
      </c>
      <c r="C14" s="5" t="s">
        <v>89</v>
      </c>
      <c r="D14" s="5" t="s">
        <v>75</v>
      </c>
      <c r="E14" s="9" t="n">
        <v>3</v>
      </c>
      <c r="F14" s="10" t="n">
        <v>150</v>
      </c>
      <c r="G14" s="5" t="n">
        <v>306</v>
      </c>
      <c r="H14" s="5" t="n">
        <v>140</v>
      </c>
      <c r="I14" s="6" t="n">
        <v>0.15</v>
      </c>
      <c r="J14" s="5" t="s">
        <v>109</v>
      </c>
      <c r="K14" s="11" t="n">
        <f aca="false">G14*H14/10000</f>
        <v>4.284</v>
      </c>
      <c r="L14" s="12" t="n">
        <f aca="false">F14*G14*H14/10000</f>
        <v>642.6</v>
      </c>
    </row>
    <row r="15" customFormat="false" ht="15" hidden="false" customHeight="false" outlineLevel="0" collapsed="false">
      <c r="A15" s="5" t="s">
        <v>129</v>
      </c>
      <c r="B15" s="5" t="s">
        <v>130</v>
      </c>
      <c r="C15" s="5" t="s">
        <v>91</v>
      </c>
      <c r="D15" s="5" t="s">
        <v>72</v>
      </c>
      <c r="E15" s="9" t="n">
        <v>1.2</v>
      </c>
      <c r="F15" s="10" t="n">
        <v>110</v>
      </c>
      <c r="G15" s="5" t="n">
        <v>324</v>
      </c>
      <c r="H15" s="5" t="n">
        <v>162</v>
      </c>
      <c r="I15" s="6" t="n">
        <v>0.2</v>
      </c>
      <c r="J15" s="5" t="s">
        <v>109</v>
      </c>
      <c r="K15" s="11" t="n">
        <f aca="false">G15*H15/10000</f>
        <v>5.2488</v>
      </c>
      <c r="L15" s="12" t="n">
        <f aca="false">F15*G15*H15/10000</f>
        <v>577.368</v>
      </c>
    </row>
    <row r="16" customFormat="false" ht="15" hidden="false" customHeight="false" outlineLevel="0" collapsed="false">
      <c r="A16" s="5" t="s">
        <v>131</v>
      </c>
      <c r="B16" s="5" t="s">
        <v>132</v>
      </c>
      <c r="C16" s="5" t="s">
        <v>91</v>
      </c>
      <c r="D16" s="5" t="s">
        <v>72</v>
      </c>
      <c r="E16" s="9" t="n">
        <v>0.6</v>
      </c>
      <c r="F16" s="10" t="n">
        <v>75</v>
      </c>
      <c r="G16" s="5" t="n">
        <v>300</v>
      </c>
      <c r="H16" s="5" t="n">
        <v>100</v>
      </c>
      <c r="I16" s="6" t="n">
        <v>0.15</v>
      </c>
      <c r="J16" s="5" t="s">
        <v>133</v>
      </c>
      <c r="K16" s="11" t="n">
        <f aca="false">G16*H16/10000</f>
        <v>3</v>
      </c>
      <c r="L16" s="12" t="n">
        <f aca="false">F16*G16*H16/10000</f>
        <v>225</v>
      </c>
    </row>
    <row r="17" customFormat="false" ht="15" hidden="false" customHeight="false" outlineLevel="0" collapsed="false">
      <c r="A17" s="5" t="s">
        <v>134</v>
      </c>
      <c r="B17" s="5" t="s">
        <v>135</v>
      </c>
      <c r="C17" s="5" t="s">
        <v>94</v>
      </c>
      <c r="D17" s="5" t="s">
        <v>72</v>
      </c>
      <c r="E17" s="9" t="n">
        <v>2</v>
      </c>
      <c r="F17" s="10" t="n">
        <v>65</v>
      </c>
      <c r="G17" s="5" t="n">
        <v>120</v>
      </c>
      <c r="H17" s="5" t="n">
        <v>60</v>
      </c>
      <c r="I17" s="6" t="n">
        <v>0.1</v>
      </c>
      <c r="J17" s="5" t="s">
        <v>136</v>
      </c>
      <c r="K17" s="11" t="n">
        <f aca="false">G17*H17/10000</f>
        <v>0.72</v>
      </c>
      <c r="L17" s="12" t="n">
        <f aca="false">F17*G17*H17/10000</f>
        <v>46.8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8" min="5" style="0" width="12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19"/>
    <col collapsed="false" customWidth="true" hidden="false" outlineLevel="0" max="16" min="16" style="0" width="14"/>
  </cols>
  <sheetData>
    <row r="1" customFormat="false" ht="15" hidden="false" customHeight="false" outlineLevel="0" collapsed="false">
      <c r="A1" s="4" t="s">
        <v>60</v>
      </c>
      <c r="B1" s="4" t="s">
        <v>137</v>
      </c>
      <c r="C1" s="4" t="s">
        <v>138</v>
      </c>
      <c r="D1" s="4" t="s">
        <v>139</v>
      </c>
      <c r="E1" s="4" t="s">
        <v>140</v>
      </c>
      <c r="F1" s="4" t="s">
        <v>141</v>
      </c>
      <c r="G1" s="4" t="s">
        <v>142</v>
      </c>
      <c r="H1" s="4" t="s">
        <v>143</v>
      </c>
      <c r="I1" s="4" t="s">
        <v>144</v>
      </c>
      <c r="J1" s="4" t="s">
        <v>145</v>
      </c>
      <c r="K1" s="4" t="s">
        <v>146</v>
      </c>
      <c r="L1" s="4" t="s">
        <v>147</v>
      </c>
      <c r="M1" s="4" t="s">
        <v>148</v>
      </c>
      <c r="N1" s="4" t="s">
        <v>149</v>
      </c>
      <c r="O1" s="4" t="s">
        <v>45</v>
      </c>
      <c r="P1" s="4" t="s">
        <v>150</v>
      </c>
    </row>
    <row r="2" customFormat="false" ht="15" hidden="false" customHeight="false" outlineLevel="0" collapsed="false">
      <c r="A2" s="5" t="s">
        <v>151</v>
      </c>
      <c r="B2" s="5" t="s">
        <v>152</v>
      </c>
      <c r="C2" s="10" t="n">
        <v>180000</v>
      </c>
      <c r="D2" s="5" t="n">
        <v>10</v>
      </c>
      <c r="E2" s="5" t="n">
        <v>1600</v>
      </c>
      <c r="F2" s="5" t="n">
        <v>22</v>
      </c>
      <c r="G2" s="10" t="n">
        <v>0.25</v>
      </c>
      <c r="H2" s="10" t="n">
        <v>6</v>
      </c>
      <c r="I2" s="10" t="n">
        <v>4000</v>
      </c>
      <c r="J2" s="9" t="n">
        <v>1</v>
      </c>
      <c r="K2" s="12" t="n">
        <f aca="false">IFERROR(C2/D2/E2,0)</f>
        <v>11.25</v>
      </c>
      <c r="L2" s="12" t="n">
        <f aca="false">F2*G2</f>
        <v>5.5</v>
      </c>
      <c r="M2" s="12" t="n">
        <f aca="false">IFERROR(I2/E2,0)</f>
        <v>2.5</v>
      </c>
      <c r="N2" s="12" t="n">
        <f aca="false">K2+L2+H2+M2</f>
        <v>25.25</v>
      </c>
      <c r="O2" s="12" t="n">
        <f aca="false">J2*INDEX(Parametri!$B:$B,MATCH("Costo_operatore_h",Parametri!$A:$A,0))</f>
        <v>32</v>
      </c>
      <c r="P2" s="12" t="n">
        <f aca="false">N2+O2</f>
        <v>57.25</v>
      </c>
    </row>
    <row r="3" customFormat="false" ht="15" hidden="false" customHeight="false" outlineLevel="0" collapsed="false">
      <c r="A3" s="5" t="s">
        <v>153</v>
      </c>
      <c r="B3" s="5" t="s">
        <v>154</v>
      </c>
      <c r="C3" s="10" t="n">
        <v>350000</v>
      </c>
      <c r="D3" s="5" t="n">
        <v>10</v>
      </c>
      <c r="E3" s="5" t="n">
        <v>1600</v>
      </c>
      <c r="F3" s="5" t="n">
        <v>30</v>
      </c>
      <c r="G3" s="10" t="n">
        <v>0.25</v>
      </c>
      <c r="H3" s="10" t="n">
        <v>10</v>
      </c>
      <c r="I3" s="10" t="n">
        <v>8000</v>
      </c>
      <c r="J3" s="9" t="n">
        <v>1</v>
      </c>
      <c r="K3" s="12" t="n">
        <f aca="false">IFERROR(C3/D3/E3,0)</f>
        <v>21.875</v>
      </c>
      <c r="L3" s="12" t="n">
        <f aca="false">F3*G3</f>
        <v>7.5</v>
      </c>
      <c r="M3" s="12" t="n">
        <f aca="false">IFERROR(I3/E3,0)</f>
        <v>5</v>
      </c>
      <c r="N3" s="12" t="n">
        <f aca="false">K3+L3+H3+M3</f>
        <v>44.375</v>
      </c>
      <c r="O3" s="12" t="n">
        <f aca="false">J3*INDEX(Parametri!$B:$B,MATCH("Costo_operatore_h",Parametri!$A:$A,0))</f>
        <v>32</v>
      </c>
      <c r="P3" s="12" t="n">
        <f aca="false">N3+O3</f>
        <v>76.375</v>
      </c>
    </row>
    <row r="4" customFormat="false" ht="15" hidden="false" customHeight="false" outlineLevel="0" collapsed="false">
      <c r="A4" s="5" t="s">
        <v>155</v>
      </c>
      <c r="B4" s="5" t="s">
        <v>156</v>
      </c>
      <c r="C4" s="10" t="n">
        <v>250000</v>
      </c>
      <c r="D4" s="5" t="n">
        <v>10</v>
      </c>
      <c r="E4" s="5" t="n">
        <v>1400</v>
      </c>
      <c r="F4" s="5" t="n">
        <v>37</v>
      </c>
      <c r="G4" s="10" t="n">
        <v>0.25</v>
      </c>
      <c r="H4" s="10" t="n">
        <v>18</v>
      </c>
      <c r="I4" s="10" t="n">
        <v>10000</v>
      </c>
      <c r="J4" s="9" t="n">
        <v>0.5</v>
      </c>
      <c r="K4" s="12" t="n">
        <f aca="false">IFERROR(C4/D4/E4,0)</f>
        <v>17.8571428571429</v>
      </c>
      <c r="L4" s="12" t="n">
        <f aca="false">F4*G4</f>
        <v>9.25</v>
      </c>
      <c r="M4" s="12" t="n">
        <f aca="false">IFERROR(I4/E4,0)</f>
        <v>7.14285714285714</v>
      </c>
      <c r="N4" s="12" t="n">
        <f aca="false">K4+L4+H4+M4</f>
        <v>52.25</v>
      </c>
      <c r="O4" s="12" t="n">
        <f aca="false">J4*INDEX(Parametri!$B:$B,MATCH("Costo_operatore_h",Parametri!$A:$A,0))</f>
        <v>16</v>
      </c>
      <c r="P4" s="12" t="n">
        <f aca="false">N4+O4</f>
        <v>68.25</v>
      </c>
    </row>
    <row r="5" customFormat="false" ht="15" hidden="false" customHeight="false" outlineLevel="0" collapsed="false">
      <c r="A5" s="5" t="s">
        <v>157</v>
      </c>
      <c r="B5" s="5" t="s">
        <v>158</v>
      </c>
      <c r="C5" s="10" t="n">
        <v>90000</v>
      </c>
      <c r="D5" s="5" t="n">
        <v>10</v>
      </c>
      <c r="E5" s="5" t="n">
        <v>1600</v>
      </c>
      <c r="F5" s="5" t="n">
        <v>15</v>
      </c>
      <c r="G5" s="10" t="n">
        <v>0.25</v>
      </c>
      <c r="H5" s="10" t="n">
        <v>4</v>
      </c>
      <c r="I5" s="10" t="n">
        <v>2500</v>
      </c>
      <c r="J5" s="9" t="n">
        <v>0.5</v>
      </c>
      <c r="K5" s="12" t="n">
        <f aca="false">IFERROR(C5/D5/E5,0)</f>
        <v>5.625</v>
      </c>
      <c r="L5" s="12" t="n">
        <f aca="false">F5*G5</f>
        <v>3.75</v>
      </c>
      <c r="M5" s="12" t="n">
        <f aca="false">IFERROR(I5/E5,0)</f>
        <v>1.5625</v>
      </c>
      <c r="N5" s="12" t="n">
        <f aca="false">K5+L5+H5+M5</f>
        <v>14.9375</v>
      </c>
      <c r="O5" s="12" t="n">
        <f aca="false">J5*INDEX(Parametri!$B:$B,MATCH("Costo_operatore_h",Parametri!$A:$A,0))</f>
        <v>16</v>
      </c>
      <c r="P5" s="12" t="n">
        <f aca="false">N5+O5</f>
        <v>30.9375</v>
      </c>
    </row>
    <row r="6" customFormat="false" ht="15" hidden="false" customHeight="false" outlineLevel="0" collapsed="false">
      <c r="A6" s="5" t="s">
        <v>159</v>
      </c>
      <c r="B6" s="5" t="s">
        <v>160</v>
      </c>
      <c r="C6" s="10" t="n">
        <v>120000</v>
      </c>
      <c r="D6" s="5" t="n">
        <v>10</v>
      </c>
      <c r="E6" s="5" t="n">
        <v>1600</v>
      </c>
      <c r="F6" s="5" t="n">
        <v>20</v>
      </c>
      <c r="G6" s="10" t="n">
        <v>0.25</v>
      </c>
      <c r="H6" s="10" t="n">
        <v>5</v>
      </c>
      <c r="I6" s="10" t="n">
        <v>3000</v>
      </c>
      <c r="J6" s="9" t="n">
        <v>0.5</v>
      </c>
      <c r="K6" s="12" t="n">
        <f aca="false">IFERROR(C6/D6/E6,0)</f>
        <v>7.5</v>
      </c>
      <c r="L6" s="12" t="n">
        <f aca="false">F6*G6</f>
        <v>5</v>
      </c>
      <c r="M6" s="12" t="n">
        <f aca="false">IFERROR(I6/E6,0)</f>
        <v>1.875</v>
      </c>
      <c r="N6" s="12" t="n">
        <f aca="false">K6+L6+H6+M6</f>
        <v>19.375</v>
      </c>
      <c r="O6" s="12" t="n">
        <f aca="false">J6*INDEX(Parametri!$B:$B,MATCH("Costo_operatore_h",Parametri!$A:$A,0))</f>
        <v>16</v>
      </c>
      <c r="P6" s="12" t="n">
        <f aca="false">N6+O6</f>
        <v>35.375</v>
      </c>
    </row>
    <row r="7" customFormat="false" ht="15" hidden="false" customHeight="false" outlineLevel="0" collapsed="false">
      <c r="A7" s="5" t="s">
        <v>161</v>
      </c>
      <c r="B7" s="5" t="s">
        <v>162</v>
      </c>
      <c r="C7" s="10" t="n">
        <v>5000</v>
      </c>
      <c r="D7" s="5" t="n">
        <v>5</v>
      </c>
      <c r="E7" s="5" t="n">
        <v>1600</v>
      </c>
      <c r="F7" s="5" t="n">
        <v>3</v>
      </c>
      <c r="G7" s="10" t="n">
        <v>0.25</v>
      </c>
      <c r="H7" s="10" t="n">
        <v>2</v>
      </c>
      <c r="I7" s="10" t="n">
        <v>300</v>
      </c>
      <c r="J7" s="9" t="n">
        <v>1</v>
      </c>
      <c r="K7" s="12" t="n">
        <f aca="false">IFERROR(C7/D7/E7,0)</f>
        <v>0.625</v>
      </c>
      <c r="L7" s="12" t="n">
        <f aca="false">F7*G7</f>
        <v>0.75</v>
      </c>
      <c r="M7" s="12" t="n">
        <f aca="false">IFERROR(I7/E7,0)</f>
        <v>0.1875</v>
      </c>
      <c r="N7" s="12" t="n">
        <f aca="false">K7+L7+H7+M7</f>
        <v>3.5625</v>
      </c>
      <c r="O7" s="12" t="n">
        <f aca="false">J7*INDEX(Parametri!$B:$B,MATCH("Costo_operatore_h",Parametri!$A:$A,0))</f>
        <v>32</v>
      </c>
      <c r="P7" s="12" t="n">
        <f aca="false">N7+O7</f>
        <v>35.5625</v>
      </c>
    </row>
    <row r="8" customFormat="false" ht="15" hidden="false" customHeight="false" outlineLevel="0" collapsed="false">
      <c r="A8" s="5" t="s">
        <v>163</v>
      </c>
      <c r="B8" s="5" t="s">
        <v>164</v>
      </c>
      <c r="C8" s="10" t="n">
        <v>3000</v>
      </c>
      <c r="D8" s="5" t="n">
        <v>5</v>
      </c>
      <c r="E8" s="5" t="n">
        <v>1600</v>
      </c>
      <c r="F8" s="5" t="n">
        <v>0</v>
      </c>
      <c r="G8" s="10" t="n">
        <v>0.25</v>
      </c>
      <c r="H8" s="10" t="n">
        <v>0</v>
      </c>
      <c r="I8" s="10" t="n">
        <v>100</v>
      </c>
      <c r="J8" s="9" t="n">
        <v>1</v>
      </c>
      <c r="K8" s="12" t="n">
        <f aca="false">IFERROR(C8/D8/E8,0)</f>
        <v>0.375</v>
      </c>
      <c r="L8" s="12" t="n">
        <f aca="false">F8*G8</f>
        <v>0</v>
      </c>
      <c r="M8" s="12" t="n">
        <f aca="false">IFERROR(I8/E8,0)</f>
        <v>0.0625</v>
      </c>
      <c r="N8" s="12" t="n">
        <f aca="false">K8+L8+H8+M8</f>
        <v>0.4375</v>
      </c>
      <c r="O8" s="12" t="n">
        <f aca="false">J8*INDEX(Parametri!$B:$B,MATCH("Costo_operatore_h",Parametri!$A:$A,0))</f>
        <v>32</v>
      </c>
      <c r="P8" s="12" t="n">
        <f aca="false">N8+O8</f>
        <v>32.4375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5" min="3" style="0" width="12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24"/>
    <col collapsed="false" customWidth="true" hidden="false" outlineLevel="0" max="10" min="10" style="0" width="26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4" t="s">
        <v>60</v>
      </c>
      <c r="B1" s="4" t="s">
        <v>165</v>
      </c>
      <c r="C1" s="4" t="s">
        <v>166</v>
      </c>
      <c r="D1" s="4" t="s">
        <v>167</v>
      </c>
      <c r="E1" s="4" t="s">
        <v>137</v>
      </c>
      <c r="F1" s="4" t="s">
        <v>168</v>
      </c>
      <c r="G1" s="4" t="s">
        <v>169</v>
      </c>
      <c r="H1" s="4" t="s">
        <v>170</v>
      </c>
      <c r="I1" s="4" t="s">
        <v>171</v>
      </c>
      <c r="J1" s="4" t="s">
        <v>63</v>
      </c>
      <c r="K1" s="4" t="s">
        <v>172</v>
      </c>
    </row>
    <row r="2" customFormat="false" ht="15" hidden="false" customHeight="false" outlineLevel="0" collapsed="false">
      <c r="A2" s="5" t="s">
        <v>173</v>
      </c>
      <c r="B2" s="5" t="s">
        <v>174</v>
      </c>
      <c r="C2" s="5" t="s">
        <v>173</v>
      </c>
      <c r="D2" s="5" t="s">
        <v>175</v>
      </c>
      <c r="E2" s="5" t="s">
        <v>151</v>
      </c>
      <c r="F2" s="13" t="n">
        <v>2</v>
      </c>
      <c r="G2" s="5" t="n">
        <v>5</v>
      </c>
      <c r="H2" s="5" t="s">
        <v>176</v>
      </c>
      <c r="I2" s="5" t="s">
        <v>176</v>
      </c>
      <c r="J2" s="5" t="s">
        <v>177</v>
      </c>
      <c r="K2" s="14" t="n">
        <f aca="false">IFERROR(1/F2,0)</f>
        <v>0.5</v>
      </c>
    </row>
    <row r="3" customFormat="false" ht="15" hidden="false" customHeight="false" outlineLevel="0" collapsed="false">
      <c r="A3" s="5" t="s">
        <v>178</v>
      </c>
      <c r="B3" s="5" t="s">
        <v>179</v>
      </c>
      <c r="C3" s="5" t="s">
        <v>173</v>
      </c>
      <c r="D3" s="5" t="s">
        <v>175</v>
      </c>
      <c r="E3" s="5" t="s">
        <v>151</v>
      </c>
      <c r="F3" s="13" t="n">
        <v>0.8</v>
      </c>
      <c r="G3" s="5" t="n">
        <v>5</v>
      </c>
      <c r="H3" s="5" t="s">
        <v>176</v>
      </c>
      <c r="I3" s="5" t="s">
        <v>176</v>
      </c>
      <c r="J3" s="5"/>
      <c r="K3" s="14" t="n">
        <f aca="false">IFERROR(1/F3,0)</f>
        <v>1.25</v>
      </c>
    </row>
    <row r="4" customFormat="false" ht="15" hidden="false" customHeight="false" outlineLevel="0" collapsed="false">
      <c r="A4" s="5" t="s">
        <v>180</v>
      </c>
      <c r="B4" s="5" t="s">
        <v>181</v>
      </c>
      <c r="C4" s="5" t="s">
        <v>173</v>
      </c>
      <c r="D4" s="5" t="s">
        <v>175</v>
      </c>
      <c r="E4" s="5" t="s">
        <v>155</v>
      </c>
      <c r="F4" s="13" t="n">
        <v>0.3</v>
      </c>
      <c r="G4" s="5" t="n">
        <v>10</v>
      </c>
      <c r="H4" s="5" t="s">
        <v>176</v>
      </c>
      <c r="I4" s="5" t="s">
        <v>176</v>
      </c>
      <c r="J4" s="5"/>
      <c r="K4" s="14" t="n">
        <f aca="false">IFERROR(1/F4,0)</f>
        <v>3.33333333333333</v>
      </c>
    </row>
    <row r="5" customFormat="false" ht="15" hidden="false" customHeight="false" outlineLevel="0" collapsed="false">
      <c r="A5" s="5" t="s">
        <v>182</v>
      </c>
      <c r="B5" s="5" t="s">
        <v>183</v>
      </c>
      <c r="C5" s="5" t="s">
        <v>184</v>
      </c>
      <c r="D5" s="5" t="s">
        <v>175</v>
      </c>
      <c r="E5" s="5" t="s">
        <v>157</v>
      </c>
      <c r="F5" s="13" t="n">
        <v>1</v>
      </c>
      <c r="G5" s="5" t="n">
        <v>3</v>
      </c>
      <c r="H5" s="5" t="s">
        <v>176</v>
      </c>
      <c r="I5" s="5" t="s">
        <v>176</v>
      </c>
      <c r="J5" s="5"/>
      <c r="K5" s="14" t="n">
        <f aca="false">IFERROR(1/F5,0)</f>
        <v>1</v>
      </c>
    </row>
    <row r="6" customFormat="false" ht="15" hidden="false" customHeight="false" outlineLevel="0" collapsed="false">
      <c r="A6" s="5" t="s">
        <v>185</v>
      </c>
      <c r="B6" s="5" t="s">
        <v>186</v>
      </c>
      <c r="C6" s="5" t="s">
        <v>184</v>
      </c>
      <c r="D6" s="5" t="s">
        <v>175</v>
      </c>
      <c r="E6" s="5" t="s">
        <v>157</v>
      </c>
      <c r="F6" s="13" t="n">
        <v>1.2</v>
      </c>
      <c r="G6" s="5" t="n">
        <v>3</v>
      </c>
      <c r="H6" s="5" t="s">
        <v>176</v>
      </c>
      <c r="I6" s="5" t="s">
        <v>176</v>
      </c>
      <c r="J6" s="5"/>
      <c r="K6" s="14" t="n">
        <f aca="false">IFERROR(1/F6,0)</f>
        <v>0.833333333333333</v>
      </c>
    </row>
    <row r="7" customFormat="false" ht="15" hidden="false" customHeight="false" outlineLevel="0" collapsed="false">
      <c r="A7" s="5" t="s">
        <v>187</v>
      </c>
      <c r="B7" s="5" t="s">
        <v>188</v>
      </c>
      <c r="C7" s="5" t="s">
        <v>184</v>
      </c>
      <c r="D7" s="5" t="s">
        <v>175</v>
      </c>
      <c r="E7" s="5" t="s">
        <v>153</v>
      </c>
      <c r="F7" s="13" t="n">
        <v>0.4</v>
      </c>
      <c r="G7" s="5" t="n">
        <v>10</v>
      </c>
      <c r="H7" s="5" t="s">
        <v>176</v>
      </c>
      <c r="I7" s="5" t="s">
        <v>176</v>
      </c>
      <c r="J7" s="5"/>
      <c r="K7" s="14" t="n">
        <f aca="false">IFERROR(1/F7,0)</f>
        <v>2.5</v>
      </c>
    </row>
    <row r="8" customFormat="false" ht="15" hidden="false" customHeight="false" outlineLevel="0" collapsed="false">
      <c r="A8" s="5" t="s">
        <v>189</v>
      </c>
      <c r="B8" s="5" t="s">
        <v>190</v>
      </c>
      <c r="C8" s="5" t="s">
        <v>184</v>
      </c>
      <c r="D8" s="5" t="s">
        <v>175</v>
      </c>
      <c r="E8" s="5" t="s">
        <v>161</v>
      </c>
      <c r="F8" s="13" t="n">
        <v>0.15</v>
      </c>
      <c r="G8" s="5" t="n">
        <v>0</v>
      </c>
      <c r="H8" s="5" t="s">
        <v>191</v>
      </c>
      <c r="I8" s="5" t="s">
        <v>191</v>
      </c>
      <c r="J8" s="5" t="s">
        <v>192</v>
      </c>
      <c r="K8" s="14" t="n">
        <f aca="false">IFERROR(1/F8,0)</f>
        <v>6.66666666666667</v>
      </c>
    </row>
    <row r="9" customFormat="false" ht="15" hidden="false" customHeight="false" outlineLevel="0" collapsed="false">
      <c r="A9" s="5" t="s">
        <v>193</v>
      </c>
      <c r="B9" s="5" t="s">
        <v>194</v>
      </c>
      <c r="C9" s="5" t="s">
        <v>184</v>
      </c>
      <c r="D9" s="5" t="s">
        <v>175</v>
      </c>
      <c r="E9" s="5" t="s">
        <v>151</v>
      </c>
      <c r="F9" s="13" t="n">
        <v>1.5</v>
      </c>
      <c r="G9" s="5" t="n">
        <v>3</v>
      </c>
      <c r="H9" s="5" t="s">
        <v>176</v>
      </c>
      <c r="I9" s="5" t="s">
        <v>191</v>
      </c>
      <c r="J9" s="5"/>
      <c r="K9" s="14" t="n">
        <f aca="false">IFERROR(1/F9,0)</f>
        <v>0.666666666666667</v>
      </c>
    </row>
    <row r="10" customFormat="false" ht="15" hidden="false" customHeight="false" outlineLevel="0" collapsed="false">
      <c r="A10" s="5" t="s">
        <v>195</v>
      </c>
      <c r="B10" s="5" t="s">
        <v>196</v>
      </c>
      <c r="C10" s="5" t="s">
        <v>184</v>
      </c>
      <c r="D10" s="5" t="s">
        <v>175</v>
      </c>
      <c r="E10" s="5" t="s">
        <v>153</v>
      </c>
      <c r="F10" s="13" t="n">
        <v>0.8</v>
      </c>
      <c r="G10" s="5" t="n">
        <v>5</v>
      </c>
      <c r="H10" s="5" t="s">
        <v>176</v>
      </c>
      <c r="I10" s="5" t="s">
        <v>191</v>
      </c>
      <c r="J10" s="5"/>
      <c r="K10" s="14" t="n">
        <f aca="false">IFERROR(1/F10,0)</f>
        <v>1.25</v>
      </c>
    </row>
    <row r="11" customFormat="false" ht="15" hidden="false" customHeight="false" outlineLevel="0" collapsed="false">
      <c r="A11" s="5" t="s">
        <v>197</v>
      </c>
      <c r="B11" s="5" t="s">
        <v>198</v>
      </c>
      <c r="C11" s="5" t="s">
        <v>199</v>
      </c>
      <c r="D11" s="5" t="s">
        <v>200</v>
      </c>
      <c r="E11" s="5" t="s">
        <v>153</v>
      </c>
      <c r="F11" s="13" t="n">
        <v>0.025</v>
      </c>
      <c r="G11" s="5" t="n">
        <v>0</v>
      </c>
      <c r="H11" s="5" t="s">
        <v>176</v>
      </c>
      <c r="I11" s="5" t="s">
        <v>176</v>
      </c>
      <c r="J11" s="5" t="s">
        <v>201</v>
      </c>
      <c r="K11" s="14" t="n">
        <f aca="false">IFERROR(1/F11,0)</f>
        <v>40</v>
      </c>
    </row>
    <row r="12" customFormat="false" ht="15" hidden="false" customHeight="false" outlineLevel="0" collapsed="false">
      <c r="A12" s="5" t="s">
        <v>202</v>
      </c>
      <c r="B12" s="5" t="s">
        <v>203</v>
      </c>
      <c r="C12" s="5" t="s">
        <v>199</v>
      </c>
      <c r="D12" s="5" t="s">
        <v>200</v>
      </c>
      <c r="E12" s="5" t="s">
        <v>153</v>
      </c>
      <c r="F12" s="13" t="n">
        <v>0.05</v>
      </c>
      <c r="G12" s="5" t="n">
        <v>0</v>
      </c>
      <c r="H12" s="5" t="s">
        <v>176</v>
      </c>
      <c r="I12" s="5" t="s">
        <v>176</v>
      </c>
      <c r="J12" s="5" t="s">
        <v>204</v>
      </c>
      <c r="K12" s="14" t="n">
        <f aca="false">IFERROR(1/F12,0)</f>
        <v>20</v>
      </c>
    </row>
    <row r="13" customFormat="false" ht="15" hidden="false" customHeight="false" outlineLevel="0" collapsed="false">
      <c r="A13" s="5" t="s">
        <v>205</v>
      </c>
      <c r="B13" s="5" t="s">
        <v>206</v>
      </c>
      <c r="C13" s="5" t="s">
        <v>199</v>
      </c>
      <c r="D13" s="5" t="s">
        <v>200</v>
      </c>
      <c r="E13" s="5" t="s">
        <v>155</v>
      </c>
      <c r="F13" s="13" t="n">
        <v>0.05</v>
      </c>
      <c r="G13" s="5" t="n">
        <v>0</v>
      </c>
      <c r="H13" s="5" t="s">
        <v>176</v>
      </c>
      <c r="I13" s="5" t="s">
        <v>176</v>
      </c>
      <c r="J13" s="5" t="s">
        <v>204</v>
      </c>
      <c r="K13" s="14" t="n">
        <f aca="false">IFERROR(1/F13,0)</f>
        <v>20</v>
      </c>
    </row>
    <row r="14" customFormat="false" ht="15" hidden="false" customHeight="false" outlineLevel="0" collapsed="false">
      <c r="A14" s="5" t="s">
        <v>207</v>
      </c>
      <c r="B14" s="5" t="s">
        <v>208</v>
      </c>
      <c r="C14" s="5" t="s">
        <v>199</v>
      </c>
      <c r="D14" s="5" t="s">
        <v>200</v>
      </c>
      <c r="E14" s="5" t="s">
        <v>153</v>
      </c>
      <c r="F14" s="13" t="n">
        <v>0.33</v>
      </c>
      <c r="G14" s="5" t="n">
        <v>0</v>
      </c>
      <c r="H14" s="5" t="s">
        <v>176</v>
      </c>
      <c r="I14" s="5" t="s">
        <v>191</v>
      </c>
      <c r="J14" s="5" t="s">
        <v>209</v>
      </c>
      <c r="K14" s="14" t="n">
        <f aca="false">IFERROR(1/F14,0)</f>
        <v>3.03030303030303</v>
      </c>
    </row>
    <row r="15" customFormat="false" ht="15" hidden="false" customHeight="false" outlineLevel="0" collapsed="false">
      <c r="A15" s="5" t="s">
        <v>210</v>
      </c>
      <c r="B15" s="5" t="s">
        <v>211</v>
      </c>
      <c r="C15" s="5" t="s">
        <v>212</v>
      </c>
      <c r="D15" s="5" t="s">
        <v>213</v>
      </c>
      <c r="E15" s="5" t="s">
        <v>159</v>
      </c>
      <c r="F15" s="13" t="n">
        <v>0.15</v>
      </c>
      <c r="G15" s="5" t="n">
        <v>5</v>
      </c>
      <c r="H15" s="5" t="s">
        <v>176</v>
      </c>
      <c r="I15" s="5" t="s">
        <v>191</v>
      </c>
      <c r="J15" s="5"/>
      <c r="K15" s="14" t="n">
        <f aca="false">IFERROR(1/F15,0)</f>
        <v>6.66666666666667</v>
      </c>
    </row>
    <row r="16" customFormat="false" ht="15" hidden="false" customHeight="false" outlineLevel="0" collapsed="false">
      <c r="A16" s="5" t="s">
        <v>214</v>
      </c>
      <c r="B16" s="5" t="s">
        <v>215</v>
      </c>
      <c r="C16" s="5" t="s">
        <v>212</v>
      </c>
      <c r="D16" s="5" t="s">
        <v>213</v>
      </c>
      <c r="E16" s="5" t="s">
        <v>159</v>
      </c>
      <c r="F16" s="13" t="n">
        <v>0.2</v>
      </c>
      <c r="G16" s="5" t="n">
        <v>5</v>
      </c>
      <c r="H16" s="5" t="s">
        <v>176</v>
      </c>
      <c r="I16" s="5" t="s">
        <v>191</v>
      </c>
      <c r="J16" s="5"/>
      <c r="K16" s="14" t="n">
        <f aca="false">IFERROR(1/F16,0)</f>
        <v>5</v>
      </c>
    </row>
    <row r="17" customFormat="false" ht="15" hidden="false" customHeight="false" outlineLevel="0" collapsed="false">
      <c r="A17" s="5" t="s">
        <v>216</v>
      </c>
      <c r="B17" s="5" t="s">
        <v>217</v>
      </c>
      <c r="C17" s="5" t="s">
        <v>212</v>
      </c>
      <c r="D17" s="5" t="s">
        <v>213</v>
      </c>
      <c r="E17" s="5" t="s">
        <v>159</v>
      </c>
      <c r="F17" s="13" t="n">
        <v>0.15</v>
      </c>
      <c r="G17" s="5" t="n">
        <v>5</v>
      </c>
      <c r="H17" s="5" t="s">
        <v>176</v>
      </c>
      <c r="I17" s="5" t="s">
        <v>191</v>
      </c>
      <c r="J17" s="5"/>
      <c r="K17" s="14" t="n">
        <f aca="false">IFERROR(1/F17,0)</f>
        <v>6.66666666666667</v>
      </c>
    </row>
    <row r="18" customFormat="false" ht="15" hidden="false" customHeight="false" outlineLevel="0" collapsed="false">
      <c r="A18" s="5" t="s">
        <v>218</v>
      </c>
      <c r="B18" s="5" t="s">
        <v>219</v>
      </c>
      <c r="C18" s="5" t="s">
        <v>212</v>
      </c>
      <c r="D18" s="5" t="s">
        <v>213</v>
      </c>
      <c r="E18" s="5" t="s">
        <v>161</v>
      </c>
      <c r="F18" s="13" t="n">
        <v>0.1</v>
      </c>
      <c r="G18" s="5" t="n">
        <v>5</v>
      </c>
      <c r="H18" s="5" t="s">
        <v>191</v>
      </c>
      <c r="I18" s="5" t="s">
        <v>191</v>
      </c>
      <c r="J18" s="5"/>
      <c r="K18" s="14" t="n">
        <f aca="false">IFERROR(1/F18,0)</f>
        <v>10</v>
      </c>
    </row>
    <row r="19" customFormat="false" ht="15" hidden="false" customHeight="false" outlineLevel="0" collapsed="false">
      <c r="A19" s="5" t="s">
        <v>220</v>
      </c>
      <c r="B19" s="5" t="s">
        <v>221</v>
      </c>
      <c r="C19" s="5" t="s">
        <v>212</v>
      </c>
      <c r="D19" s="5" t="s">
        <v>213</v>
      </c>
      <c r="E19" s="5" t="s">
        <v>161</v>
      </c>
      <c r="F19" s="13" t="n">
        <v>0.25</v>
      </c>
      <c r="G19" s="5" t="n">
        <v>0</v>
      </c>
      <c r="H19" s="5" t="s">
        <v>191</v>
      </c>
      <c r="I19" s="5" t="s">
        <v>191</v>
      </c>
      <c r="J19" s="5"/>
      <c r="K19" s="14" t="n">
        <f aca="false">IFERROR(1/F19,0)</f>
        <v>4</v>
      </c>
    </row>
    <row r="20" customFormat="false" ht="15" hidden="false" customHeight="false" outlineLevel="0" collapsed="false">
      <c r="A20" s="5" t="s">
        <v>222</v>
      </c>
      <c r="B20" s="5" t="s">
        <v>223</v>
      </c>
      <c r="C20" s="5" t="s">
        <v>222</v>
      </c>
      <c r="D20" s="5" t="s">
        <v>200</v>
      </c>
      <c r="E20" s="5" t="s">
        <v>161</v>
      </c>
      <c r="F20" s="13" t="n">
        <v>0.033</v>
      </c>
      <c r="G20" s="5" t="n">
        <v>0</v>
      </c>
      <c r="H20" s="5" t="s">
        <v>191</v>
      </c>
      <c r="I20" s="5" t="s">
        <v>191</v>
      </c>
      <c r="J20" s="5" t="s">
        <v>224</v>
      </c>
      <c r="K20" s="14" t="n">
        <f aca="false">IFERROR(1/F20,0)</f>
        <v>30.3030303030303</v>
      </c>
    </row>
    <row r="21" customFormat="false" ht="15" hidden="false" customHeight="false" outlineLevel="0" collapsed="false">
      <c r="A21" s="5" t="s">
        <v>225</v>
      </c>
      <c r="B21" s="5" t="s">
        <v>226</v>
      </c>
      <c r="C21" s="5" t="s">
        <v>227</v>
      </c>
      <c r="D21" s="5" t="s">
        <v>200</v>
      </c>
      <c r="E21" s="5" t="s">
        <v>161</v>
      </c>
      <c r="F21" s="13" t="n">
        <v>0.2</v>
      </c>
      <c r="G21" s="5" t="n">
        <v>0</v>
      </c>
      <c r="H21" s="5" t="s">
        <v>191</v>
      </c>
      <c r="I21" s="5" t="s">
        <v>191</v>
      </c>
      <c r="J21" s="5" t="s">
        <v>228</v>
      </c>
      <c r="K21" s="14" t="n">
        <f aca="false">IFERROR(1/F21,0)</f>
        <v>5</v>
      </c>
    </row>
    <row r="22" customFormat="false" ht="15" hidden="false" customHeight="false" outlineLevel="0" collapsed="false">
      <c r="A22" s="5" t="s">
        <v>229</v>
      </c>
      <c r="B22" s="5" t="s">
        <v>230</v>
      </c>
      <c r="C22" s="5" t="s">
        <v>227</v>
      </c>
      <c r="D22" s="5" t="s">
        <v>213</v>
      </c>
      <c r="E22" s="5" t="s">
        <v>163</v>
      </c>
      <c r="F22" s="13" t="n">
        <v>0.5</v>
      </c>
      <c r="G22" s="5" t="n">
        <v>5</v>
      </c>
      <c r="H22" s="5" t="s">
        <v>191</v>
      </c>
      <c r="I22" s="5" t="s">
        <v>191</v>
      </c>
      <c r="J22" s="5" t="s">
        <v>231</v>
      </c>
      <c r="K22" s="14" t="n">
        <f aca="false">IFERROR(1/F22,0)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22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10" min="7" style="0" width="12"/>
    <col collapsed="false" customWidth="true" hidden="false" outlineLevel="0" max="11" min="11" style="0" width="17"/>
  </cols>
  <sheetData>
    <row r="1" customFormat="false" ht="15" hidden="false" customHeight="false" outlineLevel="0" collapsed="false">
      <c r="A1" s="4" t="s">
        <v>60</v>
      </c>
      <c r="B1" s="4" t="s">
        <v>232</v>
      </c>
      <c r="C1" s="4" t="s">
        <v>233</v>
      </c>
      <c r="D1" s="4" t="s">
        <v>234</v>
      </c>
      <c r="E1" s="4" t="s">
        <v>235</v>
      </c>
      <c r="F1" s="4" t="s">
        <v>236</v>
      </c>
      <c r="G1" s="4" t="s">
        <v>237</v>
      </c>
      <c r="H1" s="4" t="s">
        <v>238</v>
      </c>
      <c r="I1" s="4" t="s">
        <v>239</v>
      </c>
      <c r="J1" s="4" t="s">
        <v>240</v>
      </c>
      <c r="K1" s="4" t="s">
        <v>241</v>
      </c>
    </row>
    <row r="2" customFormat="false" ht="15" hidden="false" customHeight="false" outlineLevel="0" collapsed="false">
      <c r="A2" s="5" t="s">
        <v>242</v>
      </c>
      <c r="B2" s="5" t="s">
        <v>243</v>
      </c>
      <c r="C2" s="5" t="s">
        <v>244</v>
      </c>
      <c r="D2" s="5" t="s">
        <v>245</v>
      </c>
      <c r="E2" s="5" t="s">
        <v>246</v>
      </c>
      <c r="F2" s="5" t="s">
        <v>247</v>
      </c>
      <c r="G2" s="5" t="n">
        <v>300</v>
      </c>
      <c r="H2" s="5" t="n">
        <v>62</v>
      </c>
      <c r="I2" s="5" t="n">
        <v>8</v>
      </c>
      <c r="J2" s="5" t="n">
        <v>1</v>
      </c>
      <c r="K2" s="6"/>
    </row>
    <row r="3" customFormat="false" ht="15" hidden="false" customHeight="false" outlineLevel="0" collapsed="false">
      <c r="A3" s="5" t="s">
        <v>248</v>
      </c>
      <c r="B3" s="5" t="s">
        <v>249</v>
      </c>
      <c r="C3" s="5" t="s">
        <v>244</v>
      </c>
      <c r="D3" s="5" t="s">
        <v>245</v>
      </c>
      <c r="E3" s="5" t="s">
        <v>250</v>
      </c>
      <c r="F3" s="5" t="s">
        <v>247</v>
      </c>
      <c r="G3" s="5" t="n">
        <v>120</v>
      </c>
      <c r="H3" s="5" t="n">
        <v>50</v>
      </c>
      <c r="I3" s="5" t="n">
        <v>0</v>
      </c>
      <c r="J3" s="5" t="n">
        <v>1</v>
      </c>
      <c r="K3" s="6"/>
    </row>
    <row r="4" customFormat="false" ht="15" hidden="false" customHeight="false" outlineLevel="0" collapsed="false">
      <c r="A4" s="5" t="s">
        <v>251</v>
      </c>
      <c r="B4" s="5" t="s">
        <v>252</v>
      </c>
      <c r="C4" s="5" t="s">
        <v>253</v>
      </c>
      <c r="D4" s="5" t="s">
        <v>254</v>
      </c>
      <c r="E4" s="5" t="s">
        <v>255</v>
      </c>
      <c r="F4" s="5" t="s">
        <v>256</v>
      </c>
      <c r="G4" s="5" t="n">
        <v>100</v>
      </c>
      <c r="H4" s="5" t="n">
        <v>30</v>
      </c>
      <c r="I4" s="5" t="n">
        <v>17</v>
      </c>
      <c r="J4" s="5" t="n">
        <v>14</v>
      </c>
      <c r="K4" s="6" t="n">
        <v>0.25</v>
      </c>
    </row>
    <row r="5" customFormat="false" ht="15" hidden="false" customHeight="false" outlineLevel="0" collapsed="false">
      <c r="A5" s="5" t="s">
        <v>257</v>
      </c>
      <c r="B5" s="5" t="s">
        <v>258</v>
      </c>
      <c r="C5" s="5" t="s">
        <v>244</v>
      </c>
      <c r="D5" s="5" t="s">
        <v>245</v>
      </c>
      <c r="E5" s="5" t="s">
        <v>259</v>
      </c>
      <c r="F5" s="5" t="s">
        <v>247</v>
      </c>
      <c r="G5" s="5" t="n">
        <v>120</v>
      </c>
      <c r="H5" s="5" t="n">
        <v>30</v>
      </c>
      <c r="I5" s="5" t="n">
        <v>0</v>
      </c>
      <c r="J5" s="5" t="n">
        <v>4</v>
      </c>
      <c r="K5" s="6"/>
    </row>
    <row r="6" customFormat="false" ht="15" hidden="false" customHeight="false" outlineLevel="0" collapsed="false">
      <c r="A6" s="5" t="s">
        <v>260</v>
      </c>
      <c r="B6" s="5" t="s">
        <v>261</v>
      </c>
      <c r="C6" s="5" t="s">
        <v>244</v>
      </c>
      <c r="D6" s="5" t="s">
        <v>262</v>
      </c>
      <c r="E6" s="5" t="s">
        <v>263</v>
      </c>
      <c r="F6" s="5" t="s">
        <v>264</v>
      </c>
      <c r="G6" s="5" t="n">
        <v>250</v>
      </c>
      <c r="H6" s="5" t="n">
        <v>60</v>
      </c>
      <c r="I6" s="5" t="n">
        <v>110</v>
      </c>
      <c r="J6" s="5" t="n">
        <v>1</v>
      </c>
      <c r="K6" s="6"/>
    </row>
    <row r="7" customFormat="false" ht="15" hidden="false" customHeight="false" outlineLevel="0" collapsed="false">
      <c r="A7" s="5" t="s">
        <v>265</v>
      </c>
      <c r="B7" s="5" t="s">
        <v>266</v>
      </c>
      <c r="C7" s="5" t="s">
        <v>244</v>
      </c>
      <c r="D7" s="5" t="s">
        <v>267</v>
      </c>
      <c r="E7" s="5" t="s">
        <v>259</v>
      </c>
      <c r="F7" s="5" t="s">
        <v>268</v>
      </c>
      <c r="G7" s="5" t="n">
        <v>60</v>
      </c>
      <c r="H7" s="5" t="n">
        <v>60</v>
      </c>
      <c r="I7" s="5" t="n">
        <v>0</v>
      </c>
      <c r="J7" s="5" t="n">
        <v>20</v>
      </c>
      <c r="K7" s="6"/>
    </row>
    <row r="8" customFormat="false" ht="15" hidden="false" customHeight="false" outlineLevel="0" collapsed="false">
      <c r="A8" s="5" t="s">
        <v>269</v>
      </c>
      <c r="B8" s="5" t="s">
        <v>270</v>
      </c>
      <c r="C8" s="5" t="s">
        <v>244</v>
      </c>
      <c r="D8" s="5" t="s">
        <v>267</v>
      </c>
      <c r="E8" s="5" t="s">
        <v>271</v>
      </c>
      <c r="F8" s="5" t="s">
        <v>247</v>
      </c>
      <c r="G8" s="5" t="n">
        <v>100</v>
      </c>
      <c r="H8" s="5" t="n">
        <v>50</v>
      </c>
      <c r="I8" s="5" t="n">
        <v>0</v>
      </c>
      <c r="J8" s="5" t="n">
        <v>1</v>
      </c>
      <c r="K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4" t="s">
        <v>232</v>
      </c>
      <c r="B1" s="4" t="s">
        <v>165</v>
      </c>
      <c r="C1" s="4" t="s">
        <v>272</v>
      </c>
      <c r="D1" s="4" t="s">
        <v>273</v>
      </c>
      <c r="E1" s="4" t="s">
        <v>274</v>
      </c>
      <c r="F1" s="4" t="s">
        <v>275</v>
      </c>
    </row>
    <row r="2" customFormat="false" ht="15" hidden="false" customHeight="false" outlineLevel="0" collapsed="false">
      <c r="A2" s="5" t="s">
        <v>242</v>
      </c>
      <c r="B2" s="5" t="s">
        <v>173</v>
      </c>
      <c r="C2" s="5" t="s">
        <v>276</v>
      </c>
      <c r="D2" s="5" t="n">
        <v>1</v>
      </c>
      <c r="E2" s="5" t="s">
        <v>176</v>
      </c>
      <c r="F2" s="5" t="s">
        <v>277</v>
      </c>
    </row>
    <row r="3" customFormat="false" ht="15" hidden="false" customHeight="false" outlineLevel="0" collapsed="false">
      <c r="A3" s="5" t="s">
        <v>242</v>
      </c>
      <c r="B3" s="5" t="s">
        <v>182</v>
      </c>
      <c r="C3" s="5" t="s">
        <v>278</v>
      </c>
      <c r="D3" s="5" t="n">
        <v>1</v>
      </c>
      <c r="E3" s="5" t="s">
        <v>176</v>
      </c>
      <c r="F3" s="5" t="s">
        <v>279</v>
      </c>
    </row>
    <row r="4" customFormat="false" ht="15" hidden="false" customHeight="false" outlineLevel="0" collapsed="false">
      <c r="A4" s="5" t="s">
        <v>242</v>
      </c>
      <c r="B4" s="5" t="s">
        <v>182</v>
      </c>
      <c r="C4" s="5" t="s">
        <v>280</v>
      </c>
      <c r="D4" s="5" t="n">
        <v>0.5</v>
      </c>
      <c r="E4" s="5" t="s">
        <v>191</v>
      </c>
      <c r="F4" s="5" t="s">
        <v>281</v>
      </c>
    </row>
    <row r="5" customFormat="false" ht="15" hidden="false" customHeight="false" outlineLevel="0" collapsed="false">
      <c r="A5" s="5" t="s">
        <v>242</v>
      </c>
      <c r="B5" s="5" t="s">
        <v>197</v>
      </c>
      <c r="C5" s="5" t="s">
        <v>282</v>
      </c>
      <c r="D5" s="5" t="n">
        <v>1</v>
      </c>
      <c r="E5" s="5" t="s">
        <v>176</v>
      </c>
      <c r="F5" s="5" t="s">
        <v>283</v>
      </c>
    </row>
    <row r="6" customFormat="false" ht="15" hidden="false" customHeight="false" outlineLevel="0" collapsed="false">
      <c r="A6" s="5" t="s">
        <v>242</v>
      </c>
      <c r="B6" s="5" t="s">
        <v>205</v>
      </c>
      <c r="C6" s="5" t="s">
        <v>282</v>
      </c>
      <c r="D6" s="5" t="n">
        <v>1</v>
      </c>
      <c r="E6" s="5" t="s">
        <v>176</v>
      </c>
      <c r="F6" s="5" t="s">
        <v>284</v>
      </c>
    </row>
    <row r="7" customFormat="false" ht="15" hidden="false" customHeight="false" outlineLevel="0" collapsed="false">
      <c r="A7" s="5" t="s">
        <v>242</v>
      </c>
      <c r="B7" s="5" t="s">
        <v>207</v>
      </c>
      <c r="C7" s="5" t="s">
        <v>282</v>
      </c>
      <c r="D7" s="5" t="n">
        <v>1</v>
      </c>
      <c r="E7" s="5" t="s">
        <v>176</v>
      </c>
      <c r="F7" s="5" t="s">
        <v>285</v>
      </c>
    </row>
    <row r="8" customFormat="false" ht="15" hidden="false" customHeight="false" outlineLevel="0" collapsed="false">
      <c r="A8" s="5" t="s">
        <v>242</v>
      </c>
      <c r="B8" s="5" t="s">
        <v>173</v>
      </c>
      <c r="C8" s="5" t="s">
        <v>286</v>
      </c>
      <c r="D8" s="5" t="n">
        <v>1</v>
      </c>
      <c r="E8" s="5" t="s">
        <v>176</v>
      </c>
      <c r="F8" s="5" t="s">
        <v>287</v>
      </c>
    </row>
    <row r="9" customFormat="false" ht="15" hidden="false" customHeight="false" outlineLevel="0" collapsed="false">
      <c r="A9" s="5" t="s">
        <v>242</v>
      </c>
      <c r="B9" s="5" t="s">
        <v>182</v>
      </c>
      <c r="C9" s="5" t="s">
        <v>288</v>
      </c>
      <c r="D9" s="5" t="n">
        <v>1</v>
      </c>
      <c r="E9" s="5" t="s">
        <v>176</v>
      </c>
      <c r="F9" s="5" t="s">
        <v>289</v>
      </c>
    </row>
    <row r="10" customFormat="false" ht="15" hidden="false" customHeight="false" outlineLevel="0" collapsed="false">
      <c r="A10" s="5" t="s">
        <v>242</v>
      </c>
      <c r="B10" s="5" t="s">
        <v>225</v>
      </c>
      <c r="C10" s="5" t="s">
        <v>290</v>
      </c>
      <c r="D10" s="5" t="n">
        <v>1</v>
      </c>
      <c r="E10" s="5" t="s">
        <v>176</v>
      </c>
      <c r="F10" s="5"/>
    </row>
    <row r="11" customFormat="false" ht="15" hidden="false" customHeight="false" outlineLevel="0" collapsed="false">
      <c r="A11" s="5" t="s">
        <v>242</v>
      </c>
      <c r="B11" s="5" t="s">
        <v>229</v>
      </c>
      <c r="C11" s="5" t="s">
        <v>291</v>
      </c>
      <c r="D11" s="5" t="n">
        <v>1</v>
      </c>
      <c r="E11" s="5" t="s">
        <v>176</v>
      </c>
      <c r="F11" s="5"/>
    </row>
    <row r="12" customFormat="false" ht="15" hidden="false" customHeight="false" outlineLevel="0" collapsed="false">
      <c r="A12" s="5" t="s">
        <v>248</v>
      </c>
      <c r="B12" s="5" t="s">
        <v>173</v>
      </c>
      <c r="C12" s="5" t="s">
        <v>276</v>
      </c>
      <c r="D12" s="5" t="n">
        <v>1</v>
      </c>
      <c r="E12" s="5" t="s">
        <v>176</v>
      </c>
      <c r="F12" s="5"/>
    </row>
    <row r="13" customFormat="false" ht="15" hidden="false" customHeight="false" outlineLevel="0" collapsed="false">
      <c r="A13" s="5" t="s">
        <v>248</v>
      </c>
      <c r="B13" s="5" t="s">
        <v>182</v>
      </c>
      <c r="C13" s="5" t="s">
        <v>278</v>
      </c>
      <c r="D13" s="5" t="n">
        <v>1</v>
      </c>
      <c r="E13" s="5" t="s">
        <v>176</v>
      </c>
      <c r="F13" s="5"/>
    </row>
    <row r="14" customFormat="false" ht="15" hidden="false" customHeight="false" outlineLevel="0" collapsed="false">
      <c r="A14" s="5" t="s">
        <v>248</v>
      </c>
      <c r="B14" s="5" t="s">
        <v>182</v>
      </c>
      <c r="C14" s="5" t="s">
        <v>280</v>
      </c>
      <c r="D14" s="5" t="n">
        <v>1</v>
      </c>
      <c r="E14" s="5" t="s">
        <v>191</v>
      </c>
      <c r="F14" s="5" t="s">
        <v>292</v>
      </c>
    </row>
    <row r="15" customFormat="false" ht="15" hidden="false" customHeight="false" outlineLevel="0" collapsed="false">
      <c r="A15" s="5" t="s">
        <v>248</v>
      </c>
      <c r="B15" s="5" t="s">
        <v>189</v>
      </c>
      <c r="C15" s="5" t="s">
        <v>278</v>
      </c>
      <c r="D15" s="5" t="n">
        <v>1</v>
      </c>
      <c r="E15" s="5" t="s">
        <v>191</v>
      </c>
      <c r="F15" s="5" t="s">
        <v>293</v>
      </c>
    </row>
    <row r="16" customFormat="false" ht="15" hidden="false" customHeight="false" outlineLevel="0" collapsed="false">
      <c r="A16" s="5" t="s">
        <v>248</v>
      </c>
      <c r="B16" s="5" t="s">
        <v>197</v>
      </c>
      <c r="C16" s="5" t="s">
        <v>282</v>
      </c>
      <c r="D16" s="5" t="n">
        <v>1</v>
      </c>
      <c r="E16" s="5" t="s">
        <v>176</v>
      </c>
      <c r="F16" s="5"/>
    </row>
    <row r="17" customFormat="false" ht="15" hidden="false" customHeight="false" outlineLevel="0" collapsed="false">
      <c r="A17" s="5" t="s">
        <v>248</v>
      </c>
      <c r="B17" s="5" t="s">
        <v>207</v>
      </c>
      <c r="C17" s="5" t="s">
        <v>282</v>
      </c>
      <c r="D17" s="5" t="n">
        <v>1</v>
      </c>
      <c r="E17" s="5" t="s">
        <v>176</v>
      </c>
      <c r="F17" s="5"/>
    </row>
    <row r="18" customFormat="false" ht="15" hidden="false" customHeight="false" outlineLevel="0" collapsed="false">
      <c r="A18" s="5" t="s">
        <v>248</v>
      </c>
      <c r="B18" s="5" t="s">
        <v>173</v>
      </c>
      <c r="C18" s="5" t="s">
        <v>286</v>
      </c>
      <c r="D18" s="5" t="n">
        <v>1</v>
      </c>
      <c r="E18" s="5" t="s">
        <v>176</v>
      </c>
      <c r="F18" s="5" t="s">
        <v>294</v>
      </c>
    </row>
    <row r="19" customFormat="false" ht="15" hidden="false" customHeight="false" outlineLevel="0" collapsed="false">
      <c r="A19" s="5" t="s">
        <v>248</v>
      </c>
      <c r="B19" s="5" t="s">
        <v>225</v>
      </c>
      <c r="C19" s="5" t="s">
        <v>290</v>
      </c>
      <c r="D19" s="5" t="n">
        <v>1</v>
      </c>
      <c r="E19" s="5" t="s">
        <v>176</v>
      </c>
      <c r="F19" s="5"/>
    </row>
    <row r="20" customFormat="false" ht="15" hidden="false" customHeight="false" outlineLevel="0" collapsed="false">
      <c r="A20" s="5" t="s">
        <v>248</v>
      </c>
      <c r="B20" s="5" t="s">
        <v>229</v>
      </c>
      <c r="C20" s="5" t="s">
        <v>291</v>
      </c>
      <c r="D20" s="5" t="n">
        <v>1</v>
      </c>
      <c r="E20" s="5" t="s">
        <v>176</v>
      </c>
      <c r="F20" s="5"/>
    </row>
    <row r="21" customFormat="false" ht="15" hidden="false" customHeight="false" outlineLevel="0" collapsed="false">
      <c r="A21" s="5" t="s">
        <v>251</v>
      </c>
      <c r="B21" s="5" t="s">
        <v>173</v>
      </c>
      <c r="C21" s="5" t="s">
        <v>276</v>
      </c>
      <c r="D21" s="5" t="n">
        <v>1</v>
      </c>
      <c r="E21" s="5" t="s">
        <v>176</v>
      </c>
      <c r="F21" s="5" t="s">
        <v>295</v>
      </c>
    </row>
    <row r="22" customFormat="false" ht="15" hidden="false" customHeight="false" outlineLevel="0" collapsed="false">
      <c r="A22" s="5" t="s">
        <v>251</v>
      </c>
      <c r="B22" s="5" t="s">
        <v>173</v>
      </c>
      <c r="C22" s="5" t="s">
        <v>286</v>
      </c>
      <c r="D22" s="5" t="n">
        <v>1</v>
      </c>
      <c r="E22" s="5" t="s">
        <v>176</v>
      </c>
      <c r="F22" s="5" t="s">
        <v>296</v>
      </c>
    </row>
    <row r="23" customFormat="false" ht="15" hidden="false" customHeight="false" outlineLevel="0" collapsed="false">
      <c r="A23" s="5" t="s">
        <v>251</v>
      </c>
      <c r="B23" s="5" t="s">
        <v>187</v>
      </c>
      <c r="C23" s="5" t="s">
        <v>278</v>
      </c>
      <c r="D23" s="5" t="n">
        <v>1</v>
      </c>
      <c r="E23" s="5" t="s">
        <v>176</v>
      </c>
      <c r="F23" s="5" t="s">
        <v>297</v>
      </c>
    </row>
    <row r="24" customFormat="false" ht="15" hidden="false" customHeight="false" outlineLevel="0" collapsed="false">
      <c r="A24" s="5" t="s">
        <v>251</v>
      </c>
      <c r="B24" s="5" t="s">
        <v>185</v>
      </c>
      <c r="C24" s="5" t="s">
        <v>278</v>
      </c>
      <c r="D24" s="5" t="n">
        <v>1</v>
      </c>
      <c r="E24" s="5" t="s">
        <v>191</v>
      </c>
      <c r="F24" s="5" t="s">
        <v>298</v>
      </c>
    </row>
    <row r="25" customFormat="false" ht="15" hidden="false" customHeight="false" outlineLevel="0" collapsed="false">
      <c r="A25" s="5" t="s">
        <v>251</v>
      </c>
      <c r="B25" s="5" t="s">
        <v>182</v>
      </c>
      <c r="C25" s="5" t="s">
        <v>280</v>
      </c>
      <c r="D25" s="5" t="n">
        <v>0.5</v>
      </c>
      <c r="E25" s="5" t="s">
        <v>191</v>
      </c>
      <c r="F25" s="5" t="s">
        <v>299</v>
      </c>
    </row>
    <row r="26" customFormat="false" ht="15" hidden="false" customHeight="false" outlineLevel="0" collapsed="false">
      <c r="A26" s="5" t="s">
        <v>251</v>
      </c>
      <c r="B26" s="5" t="s">
        <v>195</v>
      </c>
      <c r="C26" s="5" t="s">
        <v>278</v>
      </c>
      <c r="D26" s="5" t="n">
        <v>2</v>
      </c>
      <c r="E26" s="5" t="s">
        <v>191</v>
      </c>
      <c r="F26" s="5" t="s">
        <v>300</v>
      </c>
    </row>
    <row r="27" customFormat="false" ht="15" hidden="false" customHeight="false" outlineLevel="0" collapsed="false">
      <c r="A27" s="5" t="s">
        <v>251</v>
      </c>
      <c r="B27" s="5" t="s">
        <v>225</v>
      </c>
      <c r="C27" s="5" t="s">
        <v>290</v>
      </c>
      <c r="D27" s="5" t="n">
        <v>1</v>
      </c>
      <c r="E27" s="5" t="s">
        <v>176</v>
      </c>
      <c r="F27" s="5"/>
    </row>
    <row r="28" customFormat="false" ht="15" hidden="false" customHeight="false" outlineLevel="0" collapsed="false">
      <c r="A28" s="5" t="s">
        <v>251</v>
      </c>
      <c r="B28" s="5" t="s">
        <v>229</v>
      </c>
      <c r="C28" s="5" t="s">
        <v>291</v>
      </c>
      <c r="D28" s="5" t="n">
        <v>1</v>
      </c>
      <c r="E28" s="5" t="s">
        <v>176</v>
      </c>
      <c r="F28" s="5"/>
    </row>
    <row r="29" customFormat="false" ht="15" hidden="false" customHeight="false" outlineLevel="0" collapsed="false">
      <c r="A29" s="5" t="s">
        <v>257</v>
      </c>
      <c r="B29" s="5" t="s">
        <v>173</v>
      </c>
      <c r="C29" s="5" t="s">
        <v>276</v>
      </c>
      <c r="D29" s="5" t="n">
        <v>1</v>
      </c>
      <c r="E29" s="5" t="s">
        <v>176</v>
      </c>
      <c r="F29" s="5"/>
    </row>
    <row r="30" customFormat="false" ht="15" hidden="false" customHeight="false" outlineLevel="0" collapsed="false">
      <c r="A30" s="5" t="s">
        <v>257</v>
      </c>
      <c r="B30" s="5" t="s">
        <v>182</v>
      </c>
      <c r="C30" s="5" t="s">
        <v>278</v>
      </c>
      <c r="D30" s="5" t="n">
        <v>1</v>
      </c>
      <c r="E30" s="5" t="s">
        <v>176</v>
      </c>
      <c r="F30" s="5"/>
    </row>
    <row r="31" customFormat="false" ht="15" hidden="false" customHeight="false" outlineLevel="0" collapsed="false">
      <c r="A31" s="5" t="s">
        <v>257</v>
      </c>
      <c r="B31" s="5" t="s">
        <v>182</v>
      </c>
      <c r="C31" s="5" t="s">
        <v>280</v>
      </c>
      <c r="D31" s="5" t="n">
        <v>1</v>
      </c>
      <c r="E31" s="5" t="s">
        <v>176</v>
      </c>
      <c r="F31" s="5" t="s">
        <v>301</v>
      </c>
    </row>
    <row r="32" customFormat="false" ht="15" hidden="false" customHeight="false" outlineLevel="0" collapsed="false">
      <c r="A32" s="5" t="s">
        <v>257</v>
      </c>
      <c r="B32" s="5" t="s">
        <v>193</v>
      </c>
      <c r="C32" s="5" t="s">
        <v>278</v>
      </c>
      <c r="D32" s="5" t="n">
        <v>1</v>
      </c>
      <c r="E32" s="5" t="s">
        <v>176</v>
      </c>
      <c r="F32" s="5"/>
    </row>
    <row r="33" customFormat="false" ht="15" hidden="false" customHeight="false" outlineLevel="0" collapsed="false">
      <c r="A33" s="5" t="s">
        <v>257</v>
      </c>
      <c r="B33" s="5" t="s">
        <v>225</v>
      </c>
      <c r="C33" s="5" t="s">
        <v>290</v>
      </c>
      <c r="D33" s="5" t="n">
        <v>1</v>
      </c>
      <c r="E33" s="5" t="s">
        <v>176</v>
      </c>
      <c r="F33" s="5"/>
    </row>
    <row r="34" customFormat="false" ht="15" hidden="false" customHeight="false" outlineLevel="0" collapsed="false">
      <c r="A34" s="5" t="s">
        <v>257</v>
      </c>
      <c r="B34" s="5" t="s">
        <v>229</v>
      </c>
      <c r="C34" s="5" t="s">
        <v>291</v>
      </c>
      <c r="D34" s="5" t="n">
        <v>1</v>
      </c>
      <c r="E34" s="5" t="s">
        <v>176</v>
      </c>
      <c r="F34" s="5"/>
    </row>
    <row r="35" customFormat="false" ht="15" hidden="false" customHeight="false" outlineLevel="0" collapsed="false">
      <c r="A35" s="5" t="s">
        <v>260</v>
      </c>
      <c r="B35" s="5" t="s">
        <v>173</v>
      </c>
      <c r="C35" s="5" t="s">
        <v>276</v>
      </c>
      <c r="D35" s="5" t="n">
        <v>1</v>
      </c>
      <c r="E35" s="5" t="s">
        <v>176</v>
      </c>
      <c r="F35" s="5" t="s">
        <v>302</v>
      </c>
    </row>
    <row r="36" customFormat="false" ht="15" hidden="false" customHeight="false" outlineLevel="0" collapsed="false">
      <c r="A36" s="5" t="s">
        <v>260</v>
      </c>
      <c r="B36" s="5" t="s">
        <v>173</v>
      </c>
      <c r="C36" s="5" t="s">
        <v>286</v>
      </c>
      <c r="D36" s="5" t="n">
        <v>1</v>
      </c>
      <c r="E36" s="5" t="s">
        <v>176</v>
      </c>
      <c r="F36" s="5" t="s">
        <v>303</v>
      </c>
    </row>
    <row r="37" customFormat="false" ht="15" hidden="false" customHeight="false" outlineLevel="0" collapsed="false">
      <c r="A37" s="5" t="s">
        <v>260</v>
      </c>
      <c r="B37" s="5" t="s">
        <v>178</v>
      </c>
      <c r="C37" s="5" t="s">
        <v>278</v>
      </c>
      <c r="D37" s="5" t="n">
        <v>2</v>
      </c>
      <c r="E37" s="5" t="s">
        <v>176</v>
      </c>
      <c r="F37" s="5" t="s">
        <v>304</v>
      </c>
    </row>
    <row r="38" customFormat="false" ht="15" hidden="false" customHeight="false" outlineLevel="0" collapsed="false">
      <c r="A38" s="5" t="s">
        <v>260</v>
      </c>
      <c r="B38" s="5" t="s">
        <v>182</v>
      </c>
      <c r="C38" s="5" t="s">
        <v>280</v>
      </c>
      <c r="D38" s="5" t="n">
        <v>1</v>
      </c>
      <c r="E38" s="5" t="s">
        <v>176</v>
      </c>
      <c r="F38" s="5"/>
    </row>
    <row r="39" customFormat="false" ht="15" hidden="false" customHeight="false" outlineLevel="0" collapsed="false">
      <c r="A39" s="5" t="s">
        <v>260</v>
      </c>
      <c r="B39" s="5" t="s">
        <v>222</v>
      </c>
      <c r="C39" s="5" t="s">
        <v>305</v>
      </c>
      <c r="D39" s="5" t="n">
        <v>1</v>
      </c>
      <c r="E39" s="5" t="s">
        <v>176</v>
      </c>
      <c r="F39" s="5" t="s">
        <v>306</v>
      </c>
    </row>
    <row r="40" customFormat="false" ht="15" hidden="false" customHeight="false" outlineLevel="0" collapsed="false">
      <c r="A40" s="5" t="s">
        <v>260</v>
      </c>
      <c r="B40" s="5" t="s">
        <v>225</v>
      </c>
      <c r="C40" s="5" t="s">
        <v>290</v>
      </c>
      <c r="D40" s="5" t="n">
        <v>1</v>
      </c>
      <c r="E40" s="5" t="s">
        <v>176</v>
      </c>
      <c r="F40" s="5"/>
    </row>
    <row r="41" customFormat="false" ht="15" hidden="false" customHeight="false" outlineLevel="0" collapsed="false">
      <c r="A41" s="5" t="s">
        <v>260</v>
      </c>
      <c r="B41" s="5" t="s">
        <v>229</v>
      </c>
      <c r="C41" s="5" t="s">
        <v>291</v>
      </c>
      <c r="D41" s="5" t="n">
        <v>1.5</v>
      </c>
      <c r="E41" s="5" t="s">
        <v>176</v>
      </c>
      <c r="F41" s="5" t="s">
        <v>307</v>
      </c>
    </row>
    <row r="42" customFormat="false" ht="15" hidden="false" customHeight="false" outlineLevel="0" collapsed="false">
      <c r="A42" s="5" t="s">
        <v>265</v>
      </c>
      <c r="B42" s="5" t="s">
        <v>173</v>
      </c>
      <c r="C42" s="5" t="s">
        <v>276</v>
      </c>
      <c r="D42" s="5" t="n">
        <v>1</v>
      </c>
      <c r="E42" s="5" t="s">
        <v>176</v>
      </c>
      <c r="F42" s="5"/>
    </row>
    <row r="43" customFormat="false" ht="15" hidden="false" customHeight="false" outlineLevel="0" collapsed="false">
      <c r="A43" s="5" t="s">
        <v>265</v>
      </c>
      <c r="B43" s="5" t="s">
        <v>178</v>
      </c>
      <c r="C43" s="5" t="s">
        <v>282</v>
      </c>
      <c r="D43" s="5" t="n">
        <v>0</v>
      </c>
      <c r="E43" s="5" t="s">
        <v>191</v>
      </c>
      <c r="F43" s="5" t="s">
        <v>308</v>
      </c>
    </row>
    <row r="44" customFormat="false" ht="15" hidden="false" customHeight="false" outlineLevel="0" collapsed="false">
      <c r="A44" s="5" t="s">
        <v>265</v>
      </c>
      <c r="B44" s="5" t="s">
        <v>225</v>
      </c>
      <c r="C44" s="5" t="s">
        <v>290</v>
      </c>
      <c r="D44" s="5" t="n">
        <v>0.2</v>
      </c>
      <c r="E44" s="5" t="s">
        <v>176</v>
      </c>
      <c r="F44" s="5" t="s">
        <v>309</v>
      </c>
    </row>
    <row r="45" customFormat="false" ht="15" hidden="false" customHeight="false" outlineLevel="0" collapsed="false">
      <c r="A45" s="5" t="s">
        <v>265</v>
      </c>
      <c r="B45" s="5" t="s">
        <v>229</v>
      </c>
      <c r="C45" s="5" t="s">
        <v>291</v>
      </c>
      <c r="D45" s="5" t="n">
        <v>1</v>
      </c>
      <c r="E45" s="5" t="s">
        <v>176</v>
      </c>
      <c r="F45" s="5"/>
    </row>
    <row r="46" customFormat="false" ht="15" hidden="false" customHeight="false" outlineLevel="0" collapsed="false">
      <c r="A46" s="5" t="s">
        <v>269</v>
      </c>
      <c r="B46" s="5" t="s">
        <v>173</v>
      </c>
      <c r="C46" s="5" t="s">
        <v>276</v>
      </c>
      <c r="D46" s="5" t="n">
        <v>1</v>
      </c>
      <c r="E46" s="5" t="s">
        <v>176</v>
      </c>
      <c r="F46" s="5"/>
    </row>
    <row r="47" customFormat="false" ht="15" hidden="false" customHeight="false" outlineLevel="0" collapsed="false">
      <c r="A47" s="5" t="s">
        <v>269</v>
      </c>
      <c r="B47" s="5" t="s">
        <v>182</v>
      </c>
      <c r="C47" s="5" t="s">
        <v>278</v>
      </c>
      <c r="D47" s="5" t="n">
        <v>1</v>
      </c>
      <c r="E47" s="5" t="s">
        <v>191</v>
      </c>
      <c r="F47" s="5"/>
    </row>
    <row r="48" customFormat="false" ht="15" hidden="false" customHeight="false" outlineLevel="0" collapsed="false">
      <c r="A48" s="5" t="s">
        <v>269</v>
      </c>
      <c r="B48" s="5" t="s">
        <v>225</v>
      </c>
      <c r="C48" s="5" t="s">
        <v>290</v>
      </c>
      <c r="D48" s="5" t="n">
        <v>1</v>
      </c>
      <c r="E48" s="5" t="s">
        <v>176</v>
      </c>
      <c r="F48" s="5"/>
    </row>
  </sheetData>
  <dataValidations count="2">
    <dataValidation allowBlank="false" errorStyle="stop" operator="between" showDropDown="false" showErrorMessage="false" showInputMessage="false" sqref="C2:C147" type="list">
      <formula1>"AREA,AREA_H,ML_FRONTE,ML_LATI,ML_PERIM,ML_ALZ,ML_PERIM_H,N_PZ,N,MANUALE"</formula1>
      <formula2>0</formula2>
    </dataValidation>
    <dataValidation allowBlank="false" errorStyle="stop" operator="between" showDropDown="false" showErrorMessage="false" showInputMessage="false" sqref="E2:E147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36"/>
  </cols>
  <sheetData>
    <row r="1" customFormat="false" ht="15" hidden="false" customHeight="false" outlineLevel="0" collapsed="false">
      <c r="A1" s="4" t="s">
        <v>60</v>
      </c>
      <c r="B1" s="4" t="s">
        <v>310</v>
      </c>
      <c r="C1" s="4" t="s">
        <v>167</v>
      </c>
      <c r="D1" s="4" t="s">
        <v>311</v>
      </c>
      <c r="E1" s="4" t="s">
        <v>312</v>
      </c>
      <c r="F1" s="4" t="s">
        <v>313</v>
      </c>
      <c r="G1" s="4" t="s">
        <v>314</v>
      </c>
      <c r="H1" s="4" t="s">
        <v>63</v>
      </c>
    </row>
    <row r="2" customFormat="false" ht="15" hidden="false" customHeight="false" outlineLevel="0" collapsed="false">
      <c r="A2" s="5" t="s">
        <v>315</v>
      </c>
      <c r="B2" s="5" t="s">
        <v>316</v>
      </c>
      <c r="C2" s="5" t="s">
        <v>213</v>
      </c>
      <c r="D2" s="10" t="n">
        <v>6</v>
      </c>
      <c r="E2" s="5" t="s">
        <v>317</v>
      </c>
      <c r="F2" s="5" t="s">
        <v>176</v>
      </c>
      <c r="G2" s="5" t="s">
        <v>191</v>
      </c>
      <c r="H2" s="5" t="s">
        <v>318</v>
      </c>
    </row>
    <row r="3" customFormat="false" ht="15" hidden="false" customHeight="false" outlineLevel="0" collapsed="false">
      <c r="A3" s="5" t="s">
        <v>319</v>
      </c>
      <c r="B3" s="5" t="s">
        <v>320</v>
      </c>
      <c r="C3" s="5" t="s">
        <v>200</v>
      </c>
      <c r="D3" s="10" t="n">
        <v>85</v>
      </c>
      <c r="E3" s="5" t="s">
        <v>321</v>
      </c>
      <c r="F3" s="5" t="s">
        <v>191</v>
      </c>
      <c r="G3" s="5" t="s">
        <v>191</v>
      </c>
      <c r="H3" s="5" t="s">
        <v>318</v>
      </c>
    </row>
    <row r="4" customFormat="false" ht="15" hidden="false" customHeight="false" outlineLevel="0" collapsed="false">
      <c r="A4" s="5" t="s">
        <v>322</v>
      </c>
      <c r="B4" s="5" t="s">
        <v>323</v>
      </c>
      <c r="C4" s="5" t="s">
        <v>324</v>
      </c>
      <c r="D4" s="10" t="n">
        <v>25</v>
      </c>
      <c r="E4" s="5" t="s">
        <v>321</v>
      </c>
      <c r="F4" s="5" t="s">
        <v>191</v>
      </c>
      <c r="G4" s="5" t="s">
        <v>191</v>
      </c>
      <c r="H4" s="5" t="s">
        <v>318</v>
      </c>
    </row>
    <row r="5" customFormat="false" ht="15" hidden="false" customHeight="false" outlineLevel="0" collapsed="false">
      <c r="A5" s="5" t="s">
        <v>325</v>
      </c>
      <c r="B5" s="5" t="s">
        <v>326</v>
      </c>
      <c r="C5" s="5" t="s">
        <v>324</v>
      </c>
      <c r="D5" s="10" t="n">
        <v>70</v>
      </c>
      <c r="E5" s="5" t="s">
        <v>327</v>
      </c>
      <c r="F5" s="5" t="s">
        <v>191</v>
      </c>
      <c r="G5" s="5" t="s">
        <v>176</v>
      </c>
      <c r="H5" s="5" t="s">
        <v>328</v>
      </c>
    </row>
    <row r="6" customFormat="false" ht="15" hidden="false" customHeight="false" outlineLevel="0" collapsed="false">
      <c r="A6" s="5" t="s">
        <v>329</v>
      </c>
      <c r="B6" s="5" t="s">
        <v>330</v>
      </c>
      <c r="C6" s="5" t="s">
        <v>213</v>
      </c>
      <c r="D6" s="10" t="n">
        <v>45</v>
      </c>
      <c r="E6" s="5" t="s">
        <v>317</v>
      </c>
      <c r="F6" s="5" t="s">
        <v>191</v>
      </c>
      <c r="G6" s="5" t="s">
        <v>176</v>
      </c>
      <c r="H6" s="5" t="s">
        <v>331</v>
      </c>
    </row>
    <row r="7" customFormat="false" ht="15" hidden="false" customHeight="false" outlineLevel="0" collapsed="false">
      <c r="A7" s="5" t="s">
        <v>332</v>
      </c>
      <c r="B7" s="5" t="s">
        <v>333</v>
      </c>
      <c r="C7" s="5" t="s">
        <v>334</v>
      </c>
      <c r="D7" s="10" t="n">
        <v>38</v>
      </c>
      <c r="E7" s="5" t="s">
        <v>321</v>
      </c>
      <c r="F7" s="5" t="s">
        <v>191</v>
      </c>
      <c r="G7" s="5" t="s">
        <v>176</v>
      </c>
      <c r="H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4" t="s">
        <v>60</v>
      </c>
      <c r="B1" s="4" t="s">
        <v>26</v>
      </c>
      <c r="C1" s="4" t="s">
        <v>335</v>
      </c>
      <c r="D1" s="4" t="s">
        <v>336</v>
      </c>
    </row>
    <row r="2" customFormat="false" ht="15" hidden="false" customHeight="false" outlineLevel="0" collapsed="false">
      <c r="A2" s="5" t="s">
        <v>38</v>
      </c>
      <c r="B2" s="5" t="s">
        <v>337</v>
      </c>
      <c r="C2" s="6" t="n">
        <v>0.22</v>
      </c>
      <c r="D2" s="5"/>
    </row>
    <row r="3" customFormat="false" ht="15" hidden="false" customHeight="false" outlineLevel="0" collapsed="false">
      <c r="A3" s="5" t="s">
        <v>338</v>
      </c>
      <c r="B3" s="5" t="s">
        <v>339</v>
      </c>
      <c r="C3" s="6" t="n">
        <v>0.1</v>
      </c>
      <c r="D3" s="5" t="s">
        <v>340</v>
      </c>
    </row>
    <row r="4" customFormat="false" ht="15" hidden="false" customHeight="false" outlineLevel="0" collapsed="false">
      <c r="A4" s="5" t="s">
        <v>341</v>
      </c>
      <c r="B4" s="5" t="s">
        <v>342</v>
      </c>
      <c r="C4" s="6" t="n">
        <v>0.04</v>
      </c>
      <c r="D4" s="5" t="s">
        <v>343</v>
      </c>
    </row>
    <row r="5" customFormat="false" ht="15" hidden="false" customHeight="false" outlineLevel="0" collapsed="false">
      <c r="A5" s="5" t="s">
        <v>43</v>
      </c>
      <c r="B5" s="5" t="s">
        <v>344</v>
      </c>
      <c r="C5" s="6" t="n">
        <v>0</v>
      </c>
      <c r="D5" s="5" t="s">
        <v>345</v>
      </c>
    </row>
    <row r="6" customFormat="false" ht="15" hidden="false" customHeight="false" outlineLevel="0" collapsed="false">
      <c r="A6" s="5" t="s">
        <v>346</v>
      </c>
      <c r="B6" s="5" t="s">
        <v>347</v>
      </c>
      <c r="C6" s="6" t="n">
        <v>0</v>
      </c>
      <c r="D6" s="5" t="s">
        <v>348</v>
      </c>
    </row>
    <row r="7" customFormat="false" ht="15" hidden="false" customHeight="false" outlineLevel="0" collapsed="false">
      <c r="A7" s="5" t="s">
        <v>349</v>
      </c>
      <c r="B7" s="5" t="s">
        <v>350</v>
      </c>
      <c r="C7" s="6" t="n">
        <v>0</v>
      </c>
      <c r="D7" s="5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2026-10-19T09:16:44Z</dcterms:created>
  <dc:creator>openpyxl</dc:creator>
  <dc:description/>
  <dc:language>en-US</dc:language>
  <cp:lastModifiedBy/>
  <dcterms:modified xsi:type="dcterms:W3CDTF">2026-10-19T09:16:44Z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